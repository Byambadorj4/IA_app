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erdenesmongolcompany-my.sharepoint.com/personal/byambadorj_erdenesmongol_mn/Documents/2025/deskt/Desktop/Баталгаажуулалтын аудит тайлан/"/>
    </mc:Choice>
  </mc:AlternateContent>
  <xr:revisionPtr revIDLastSave="2" documentId="13_ncr:1_{1DB80B7F-0E53-41FD-9A26-F9307BA58E0A}" xr6:coauthVersionLast="47" xr6:coauthVersionMax="47" xr10:uidLastSave="{745CB32A-D151-4E90-BA55-6324CCA16520}"/>
  <bookViews>
    <workbookView xWindow="47880" yWindow="-120" windowWidth="51840" windowHeight="21120" activeTab="2" xr2:uid="{76F4F0E5-47E3-494D-A44B-B8C6953CE33E}"/>
  </bookViews>
  <sheets>
    <sheet name="ҮЙЛДВЭР ЯВУУЛДАГ" sheetId="15" r:id="rId1"/>
    <sheet name="ЗЭЭЛЭЭР САНХҮҮЖДЭГ" sheetId="16" r:id="rId2"/>
    <sheet name="тайланд тусгах АС нэгтгэл-3.01" sheetId="30" r:id="rId3"/>
    <sheet name="Асуудлын нэгтгэл" sheetId="29" r:id="rId4"/>
    <sheet name="Асуудлын бүртгэл" sheetId="18" r:id="rId5"/>
  </sheets>
  <externalReferences>
    <externalReference r:id="rId6"/>
  </externalReferences>
  <definedNames>
    <definedName name="_Hlk4331660">[1]Үйлд.З!#REF!</definedName>
    <definedName name="СТР_1">#REF!</definedName>
    <definedName name="СТР_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8" i="30" l="1"/>
  <c r="Q38" i="30"/>
  <c r="P38" i="30"/>
  <c r="O38" i="30"/>
  <c r="N38" i="30"/>
  <c r="M38" i="30"/>
  <c r="L38" i="30"/>
  <c r="K38" i="30"/>
  <c r="J38" i="30"/>
  <c r="I38" i="30"/>
  <c r="H38" i="30"/>
  <c r="G38" i="30"/>
  <c r="F38" i="30"/>
  <c r="E38" i="30"/>
  <c r="D38" i="30"/>
  <c r="C38" i="30"/>
  <c r="D8" i="30"/>
  <c r="E8" i="30"/>
  <c r="F8" i="30"/>
  <c r="G8" i="30"/>
  <c r="H8" i="30"/>
  <c r="I8" i="30"/>
  <c r="J8" i="30"/>
  <c r="K8" i="30"/>
  <c r="L8" i="30"/>
  <c r="M8" i="30"/>
  <c r="N8" i="30"/>
  <c r="O8" i="30"/>
  <c r="P8" i="30"/>
  <c r="Q8" i="30"/>
  <c r="R8" i="30"/>
  <c r="C8" i="30"/>
  <c r="R51" i="30"/>
  <c r="Q51" i="30"/>
  <c r="P51" i="30"/>
  <c r="O51" i="30"/>
  <c r="N51" i="30"/>
  <c r="M51" i="30"/>
  <c r="L51" i="30"/>
  <c r="K51" i="30"/>
  <c r="J51" i="30"/>
  <c r="I51" i="30"/>
  <c r="H51" i="30"/>
  <c r="G51" i="30"/>
  <c r="F51" i="30"/>
  <c r="E51" i="30"/>
  <c r="D51" i="30"/>
  <c r="C51" i="30"/>
  <c r="R49" i="30"/>
  <c r="Q49" i="30"/>
  <c r="P49" i="30"/>
  <c r="O49" i="30"/>
  <c r="N49" i="30"/>
  <c r="M49" i="30"/>
  <c r="L49" i="30"/>
  <c r="K49" i="30"/>
  <c r="J49" i="30"/>
  <c r="I49" i="30"/>
  <c r="H49" i="30"/>
  <c r="G49" i="30"/>
  <c r="F49" i="30"/>
  <c r="E49" i="30"/>
  <c r="D49" i="30"/>
  <c r="C49" i="30"/>
  <c r="R47" i="30"/>
  <c r="Q47" i="30"/>
  <c r="P47" i="30"/>
  <c r="O47" i="30"/>
  <c r="N47" i="30"/>
  <c r="M47" i="30"/>
  <c r="L47" i="30"/>
  <c r="K47" i="30"/>
  <c r="J47" i="30"/>
  <c r="I47" i="30"/>
  <c r="H47" i="30"/>
  <c r="G47" i="30"/>
  <c r="F47" i="30"/>
  <c r="E47" i="30"/>
  <c r="D47" i="30"/>
  <c r="C47" i="30"/>
  <c r="R44" i="30"/>
  <c r="Q44" i="30"/>
  <c r="P44" i="30"/>
  <c r="O44" i="30"/>
  <c r="N44" i="30"/>
  <c r="M44" i="30"/>
  <c r="L44" i="30"/>
  <c r="K44" i="30"/>
  <c r="J44" i="30"/>
  <c r="I44" i="30"/>
  <c r="H44" i="30"/>
  <c r="G44" i="30"/>
  <c r="F44" i="30"/>
  <c r="E44" i="30"/>
  <c r="D44" i="30"/>
  <c r="C44" i="30"/>
  <c r="R40" i="30"/>
  <c r="Q40" i="30"/>
  <c r="P40" i="30"/>
  <c r="O40" i="30"/>
  <c r="N40" i="30"/>
  <c r="M40" i="30"/>
  <c r="L40" i="30"/>
  <c r="K40" i="30"/>
  <c r="J40" i="30"/>
  <c r="I40" i="30"/>
  <c r="H40" i="30"/>
  <c r="G40" i="30"/>
  <c r="F40" i="30"/>
  <c r="E40" i="30"/>
  <c r="D40" i="30"/>
  <c r="C40" i="30"/>
  <c r="R35" i="30"/>
  <c r="Q35" i="30"/>
  <c r="P35" i="30"/>
  <c r="O35" i="30"/>
  <c r="N35" i="30"/>
  <c r="M35" i="30"/>
  <c r="L35" i="30"/>
  <c r="K35" i="30"/>
  <c r="J35" i="30"/>
  <c r="I35" i="30"/>
  <c r="H35" i="30"/>
  <c r="G35" i="30"/>
  <c r="F35" i="30"/>
  <c r="E35" i="30"/>
  <c r="D35" i="30"/>
  <c r="C35" i="30"/>
  <c r="R33" i="30"/>
  <c r="R32" i="30" s="1"/>
  <c r="Q32" i="30"/>
  <c r="P32" i="30"/>
  <c r="O32" i="30"/>
  <c r="N32" i="30"/>
  <c r="M32" i="30"/>
  <c r="L32" i="30"/>
  <c r="K32" i="30"/>
  <c r="J32" i="30"/>
  <c r="I32" i="30"/>
  <c r="H32" i="30"/>
  <c r="G32" i="30"/>
  <c r="F32" i="30"/>
  <c r="E32" i="30"/>
  <c r="D32" i="30"/>
  <c r="C32" i="30"/>
  <c r="R29" i="30"/>
  <c r="Q29" i="30"/>
  <c r="P29" i="30"/>
  <c r="O29" i="30"/>
  <c r="N29" i="30"/>
  <c r="M29" i="30"/>
  <c r="L29" i="30"/>
  <c r="K29" i="30"/>
  <c r="J29" i="30"/>
  <c r="I29" i="30"/>
  <c r="H29" i="30"/>
  <c r="G29" i="30"/>
  <c r="F29" i="30"/>
  <c r="E29" i="30"/>
  <c r="D29" i="30"/>
  <c r="C29" i="30"/>
  <c r="R26" i="30"/>
  <c r="Q26" i="30"/>
  <c r="P26" i="30"/>
  <c r="O26" i="30"/>
  <c r="N26" i="30"/>
  <c r="M26" i="30"/>
  <c r="L26" i="30"/>
  <c r="K26" i="30"/>
  <c r="J26" i="30"/>
  <c r="I26" i="30"/>
  <c r="H26" i="30"/>
  <c r="G26" i="30"/>
  <c r="F26" i="30"/>
  <c r="E26" i="30"/>
  <c r="D26" i="30"/>
  <c r="C26" i="30"/>
  <c r="R23" i="30"/>
  <c r="Q23" i="30"/>
  <c r="P23" i="30"/>
  <c r="O23" i="30"/>
  <c r="N23" i="30"/>
  <c r="M23" i="30"/>
  <c r="L23" i="30"/>
  <c r="K23" i="30"/>
  <c r="J23" i="30"/>
  <c r="I23" i="30"/>
  <c r="H23" i="30"/>
  <c r="G23" i="30"/>
  <c r="F23" i="30"/>
  <c r="E23" i="30"/>
  <c r="D23" i="30"/>
  <c r="C23" i="30"/>
  <c r="R19" i="30"/>
  <c r="Q19" i="30"/>
  <c r="P19" i="30"/>
  <c r="O19" i="30"/>
  <c r="N19" i="30"/>
  <c r="M19" i="30"/>
  <c r="L19" i="30"/>
  <c r="K19" i="30"/>
  <c r="J19" i="30"/>
  <c r="I19" i="30"/>
  <c r="H19" i="30"/>
  <c r="G19" i="30"/>
  <c r="F19" i="30"/>
  <c r="E19" i="30"/>
  <c r="D19" i="30"/>
  <c r="C19" i="30"/>
  <c r="R17" i="30"/>
  <c r="Q17" i="30"/>
  <c r="P17" i="30"/>
  <c r="O17" i="30"/>
  <c r="N17" i="30"/>
  <c r="M17" i="30"/>
  <c r="L17" i="30"/>
  <c r="K17" i="30"/>
  <c r="J17" i="30"/>
  <c r="I17" i="30"/>
  <c r="H17" i="30"/>
  <c r="G17" i="30"/>
  <c r="F17" i="30"/>
  <c r="E17" i="30"/>
  <c r="D17" i="30"/>
  <c r="C17" i="30"/>
  <c r="R14" i="30"/>
  <c r="Q14" i="30"/>
  <c r="P14" i="30"/>
  <c r="O14" i="30"/>
  <c r="N14" i="30"/>
  <c r="M14" i="30"/>
  <c r="L14" i="30"/>
  <c r="K14" i="30"/>
  <c r="J14" i="30"/>
  <c r="I14" i="30"/>
  <c r="H14" i="30"/>
  <c r="G14" i="30"/>
  <c r="F14" i="30"/>
  <c r="E14" i="30"/>
  <c r="D14" i="30"/>
  <c r="C14" i="30"/>
  <c r="R11" i="30"/>
  <c r="Q11" i="30"/>
  <c r="P11" i="30"/>
  <c r="O11" i="30"/>
  <c r="N11" i="30"/>
  <c r="M11" i="30"/>
  <c r="L11" i="30"/>
  <c r="K11" i="30"/>
  <c r="J11" i="30"/>
  <c r="I11" i="30"/>
  <c r="H11" i="30"/>
  <c r="G11" i="30"/>
  <c r="F11" i="30"/>
  <c r="E11" i="30"/>
  <c r="D11" i="30"/>
  <c r="C11" i="30"/>
  <c r="R33" i="29"/>
  <c r="A6" i="18"/>
  <c r="A10" i="18"/>
  <c r="A9" i="18"/>
  <c r="B9" i="18"/>
  <c r="B10" i="18"/>
  <c r="R6" i="29"/>
  <c r="Q6" i="29"/>
  <c r="P6" i="29"/>
  <c r="O6" i="29"/>
  <c r="N6" i="29"/>
  <c r="M6" i="29"/>
  <c r="L6" i="29"/>
  <c r="K6" i="29"/>
  <c r="J6" i="29"/>
  <c r="I6" i="29"/>
  <c r="H6" i="29"/>
  <c r="G6" i="29"/>
  <c r="F6" i="29"/>
  <c r="E6" i="29"/>
  <c r="D6" i="29"/>
  <c r="C6" i="29"/>
  <c r="R14" i="29"/>
  <c r="Q14" i="29"/>
  <c r="P14" i="29"/>
  <c r="O14" i="29"/>
  <c r="N14" i="29"/>
  <c r="M14" i="29"/>
  <c r="L14" i="29"/>
  <c r="K14" i="29"/>
  <c r="J14" i="29"/>
  <c r="I14" i="29"/>
  <c r="H14" i="29"/>
  <c r="G14" i="29"/>
  <c r="F14" i="29"/>
  <c r="E14" i="29"/>
  <c r="D14" i="29"/>
  <c r="C14" i="29"/>
  <c r="H54" i="30" l="1"/>
  <c r="N54" i="30"/>
  <c r="G54" i="30"/>
  <c r="M54" i="30"/>
  <c r="O54" i="30"/>
  <c r="D54" i="30"/>
  <c r="J54" i="30"/>
  <c r="E54" i="30"/>
  <c r="Q54" i="30"/>
  <c r="C54" i="30"/>
  <c r="I54" i="30"/>
  <c r="P54" i="30"/>
  <c r="F54" i="30"/>
  <c r="K54" i="30"/>
  <c r="R54" i="30"/>
  <c r="L54" i="30"/>
  <c r="C32" i="29"/>
  <c r="C35" i="29"/>
  <c r="C38" i="29"/>
  <c r="R52" i="29"/>
  <c r="Q52" i="29"/>
  <c r="P52" i="29"/>
  <c r="O52" i="29"/>
  <c r="N52" i="29"/>
  <c r="M52" i="29"/>
  <c r="L52" i="29"/>
  <c r="K52" i="29"/>
  <c r="J52" i="29"/>
  <c r="I52" i="29"/>
  <c r="H52" i="29"/>
  <c r="G52" i="29"/>
  <c r="F52" i="29"/>
  <c r="E52" i="29"/>
  <c r="D52" i="29"/>
  <c r="C52" i="29"/>
  <c r="R50" i="29"/>
  <c r="Q50" i="29"/>
  <c r="P50" i="29"/>
  <c r="O50" i="29"/>
  <c r="N50" i="29"/>
  <c r="M50" i="29"/>
  <c r="L50" i="29"/>
  <c r="K50" i="29"/>
  <c r="J50" i="29"/>
  <c r="I50" i="29"/>
  <c r="H50" i="29"/>
  <c r="G50" i="29"/>
  <c r="F50" i="29"/>
  <c r="E50" i="29"/>
  <c r="D50" i="29"/>
  <c r="C50" i="29"/>
  <c r="R48" i="29"/>
  <c r="Q48" i="29"/>
  <c r="P48" i="29"/>
  <c r="O48" i="29"/>
  <c r="N48" i="29"/>
  <c r="M48" i="29"/>
  <c r="L48" i="29"/>
  <c r="K48" i="29"/>
  <c r="J48" i="29"/>
  <c r="I48" i="29"/>
  <c r="H48" i="29"/>
  <c r="G48" i="29"/>
  <c r="F48" i="29"/>
  <c r="E48" i="29"/>
  <c r="D48" i="29"/>
  <c r="C48" i="29"/>
  <c r="C41" i="29"/>
  <c r="C45" i="29"/>
  <c r="R45" i="29"/>
  <c r="Q45" i="29"/>
  <c r="P45" i="29"/>
  <c r="O45" i="29"/>
  <c r="N45" i="29"/>
  <c r="M45" i="29"/>
  <c r="L45" i="29"/>
  <c r="K45" i="29"/>
  <c r="J45" i="29"/>
  <c r="I45" i="29"/>
  <c r="H45" i="29"/>
  <c r="G45" i="29"/>
  <c r="F45" i="29"/>
  <c r="E45" i="29"/>
  <c r="D45" i="29"/>
  <c r="R41" i="29"/>
  <c r="Q41" i="29"/>
  <c r="P41" i="29"/>
  <c r="O41" i="29"/>
  <c r="N41" i="29"/>
  <c r="M41" i="29"/>
  <c r="L41" i="29"/>
  <c r="K41" i="29"/>
  <c r="J41" i="29"/>
  <c r="I41" i="29"/>
  <c r="H41" i="29"/>
  <c r="G41" i="29"/>
  <c r="F41" i="29"/>
  <c r="E41" i="29"/>
  <c r="D41" i="29"/>
  <c r="R38" i="29"/>
  <c r="Q38" i="29"/>
  <c r="P38" i="29"/>
  <c r="O38" i="29"/>
  <c r="N38" i="29"/>
  <c r="M38" i="29"/>
  <c r="L38" i="29"/>
  <c r="K38" i="29"/>
  <c r="J38" i="29"/>
  <c r="I38" i="29"/>
  <c r="H38" i="29"/>
  <c r="G38" i="29"/>
  <c r="F38" i="29"/>
  <c r="E38" i="29"/>
  <c r="D38" i="29"/>
  <c r="R35" i="29"/>
  <c r="Q35" i="29"/>
  <c r="P35" i="29"/>
  <c r="O35" i="29"/>
  <c r="N35" i="29"/>
  <c r="M35" i="29"/>
  <c r="L35" i="29"/>
  <c r="K35" i="29"/>
  <c r="J35" i="29"/>
  <c r="I35" i="29"/>
  <c r="H35" i="29"/>
  <c r="G35" i="29"/>
  <c r="F35" i="29"/>
  <c r="E35" i="29"/>
  <c r="D35" i="29"/>
  <c r="R32" i="29"/>
  <c r="R55" i="29" s="1"/>
  <c r="Q32" i="29"/>
  <c r="P32" i="29"/>
  <c r="O32" i="29"/>
  <c r="N32" i="29"/>
  <c r="M32" i="29"/>
  <c r="L32" i="29"/>
  <c r="K32" i="29"/>
  <c r="J32" i="29"/>
  <c r="I32" i="29"/>
  <c r="H32" i="29"/>
  <c r="G32" i="29"/>
  <c r="F32" i="29"/>
  <c r="E32" i="29"/>
  <c r="D32" i="29"/>
  <c r="R29" i="29"/>
  <c r="Q29" i="29"/>
  <c r="P29" i="29"/>
  <c r="O29" i="29"/>
  <c r="N29" i="29"/>
  <c r="M29" i="29"/>
  <c r="L29" i="29"/>
  <c r="K29" i="29"/>
  <c r="J29" i="29"/>
  <c r="I29" i="29"/>
  <c r="H29" i="29"/>
  <c r="G29" i="29"/>
  <c r="F29" i="29"/>
  <c r="E29" i="29"/>
  <c r="D29" i="29"/>
  <c r="C29" i="29"/>
  <c r="R26" i="29"/>
  <c r="Q26" i="29"/>
  <c r="P26" i="29"/>
  <c r="O26" i="29"/>
  <c r="N26" i="29"/>
  <c r="M26" i="29"/>
  <c r="L26" i="29"/>
  <c r="K26" i="29"/>
  <c r="J26" i="29"/>
  <c r="I26" i="29"/>
  <c r="H26" i="29"/>
  <c r="G26" i="29"/>
  <c r="F26" i="29"/>
  <c r="E26" i="29"/>
  <c r="D26" i="29"/>
  <c r="C26" i="29"/>
  <c r="R23" i="29"/>
  <c r="Q23" i="29"/>
  <c r="P23" i="29"/>
  <c r="O23" i="29"/>
  <c r="N23" i="29"/>
  <c r="M23" i="29"/>
  <c r="L23" i="29"/>
  <c r="K23" i="29"/>
  <c r="J23" i="29"/>
  <c r="I23" i="29"/>
  <c r="H23" i="29"/>
  <c r="G23" i="29"/>
  <c r="F23" i="29"/>
  <c r="E23" i="29"/>
  <c r="D23" i="29"/>
  <c r="C23" i="29"/>
  <c r="R19" i="29"/>
  <c r="Q19" i="29"/>
  <c r="P19" i="29"/>
  <c r="O19" i="29"/>
  <c r="N19" i="29"/>
  <c r="M19" i="29"/>
  <c r="L19" i="29"/>
  <c r="K19" i="29"/>
  <c r="J19" i="29"/>
  <c r="I19" i="29"/>
  <c r="H19" i="29"/>
  <c r="G19" i="29"/>
  <c r="F19" i="29"/>
  <c r="E19" i="29"/>
  <c r="D19" i="29"/>
  <c r="C19" i="29"/>
  <c r="R17" i="29"/>
  <c r="Q17" i="29"/>
  <c r="P17" i="29"/>
  <c r="O17" i="29"/>
  <c r="N17" i="29"/>
  <c r="M17" i="29"/>
  <c r="L17" i="29"/>
  <c r="K17" i="29"/>
  <c r="J17" i="29"/>
  <c r="I17" i="29"/>
  <c r="H17" i="29"/>
  <c r="G17" i="29"/>
  <c r="F17" i="29"/>
  <c r="E17" i="29"/>
  <c r="D17" i="29"/>
  <c r="C17" i="29"/>
  <c r="D11" i="29"/>
  <c r="E11" i="29"/>
  <c r="F11" i="29"/>
  <c r="G11" i="29"/>
  <c r="H11" i="29"/>
  <c r="I11" i="29"/>
  <c r="J11" i="29"/>
  <c r="K11" i="29"/>
  <c r="L11" i="29"/>
  <c r="M11" i="29"/>
  <c r="N11" i="29"/>
  <c r="O11" i="29"/>
  <c r="P11" i="29"/>
  <c r="Q11" i="29"/>
  <c r="R11" i="29"/>
  <c r="C11" i="29"/>
  <c r="N55" i="29" l="1"/>
  <c r="H55" i="29"/>
  <c r="J55" i="29"/>
  <c r="M55" i="29"/>
  <c r="E55" i="29"/>
  <c r="F55" i="29"/>
  <c r="G55" i="29"/>
  <c r="O55" i="29"/>
  <c r="P55" i="29"/>
  <c r="Q55" i="29"/>
  <c r="D55" i="29"/>
  <c r="I55" i="29"/>
  <c r="L55" i="29"/>
  <c r="K55" i="29"/>
  <c r="C55" i="29"/>
</calcChain>
</file>

<file path=xl/sharedStrings.xml><?xml version="1.0" encoding="utf-8"?>
<sst xmlns="http://schemas.openxmlformats.org/spreadsheetml/2006/main" count="266" uniqueCount="123">
  <si>
    <t xml:space="preserve">ҮЙЛДВЭРЛЭЛТИЙН ҮЙЛ АЖИЛЛАГАА                                                                                                                      </t>
  </si>
  <si>
    <t>ЯВУУЛЖ БУЙ КОМПАНИЙН НЭРС</t>
  </si>
  <si>
    <t>Хамаарах компанийн нэрс</t>
  </si>
  <si>
    <t>Хариуцсан аудиторын нэр</t>
  </si>
  <si>
    <t>Эрдэнэт Үйлдвэр ТӨҮГ</t>
  </si>
  <si>
    <t>Н.Мөнхжаргал</t>
  </si>
  <si>
    <t xml:space="preserve">Дарханы Төмөрлөгийн Үйлдвэр ТӨХК </t>
  </si>
  <si>
    <t>А.Бямбадорж</t>
  </si>
  <si>
    <t xml:space="preserve">Цемент шохой ТӨХК </t>
  </si>
  <si>
    <t>Д.Чулуунбат</t>
  </si>
  <si>
    <t>Эрдэнэс критикал менералс ТӨҮГ</t>
  </si>
  <si>
    <t>Сү.Гэрэлмаа</t>
  </si>
  <si>
    <t xml:space="preserve">Эрдэнэс Алт Ресурс ХХК </t>
  </si>
  <si>
    <t>Г.Батхонгор</t>
  </si>
  <si>
    <t xml:space="preserve">Эрдэнэс таван толгой ХК </t>
  </si>
  <si>
    <t xml:space="preserve">Гашуун Сухайт Автозам ХХК </t>
  </si>
  <si>
    <t>Багануур ХК</t>
  </si>
  <si>
    <t>Ц.Ядамцоо</t>
  </si>
  <si>
    <t>Шивээ овоо ХК</t>
  </si>
  <si>
    <t>Б.Мөнгөнцэцэг</t>
  </si>
  <si>
    <t>ЗЭЭЛЭЭР САНХҮҮЖДЭГ КОМПАНИЙН НЭРС</t>
  </si>
  <si>
    <t>"Эрдэнэс ҮТП" ХХК</t>
  </si>
  <si>
    <t>Д.Эрдэнэ-Очир</t>
  </si>
  <si>
    <t>"Монгол газрын тос боловсруулах үйлдвэр" ХХК</t>
  </si>
  <si>
    <t>Ж.Хашбат</t>
  </si>
  <si>
    <t>"Эрдэнэс Оюу толгой" ХХК</t>
  </si>
  <si>
    <t>Б.Уранзаяа</t>
  </si>
  <si>
    <t>"Мон Атом" ХХК</t>
  </si>
  <si>
    <t>"Эрдэнэс Метан" ХХК</t>
  </si>
  <si>
    <t>Д.Бямбадорж</t>
  </si>
  <si>
    <t>"Эрдэнэс Баянбогд" ХХК</t>
  </si>
  <si>
    <t>"Чингис хаан үндэсний баялгийн сан" ХХК</t>
  </si>
  <si>
    <t>Дотоод аудитын БА-2025/11 дугаартай тайлангийн хавсралт</t>
  </si>
  <si>
    <t>НЭГДЛИЙН ОХИН ХАРААТ КОМПАНИД ХИЙСЭН АУДИТЫН АСУУДЛЫН НЭГТГЭЛИЙН ХАРИУ ТАЙЛБАР</t>
  </si>
  <si>
    <t>/сая төгрөг/</t>
  </si>
  <si>
    <t>№</t>
  </si>
  <si>
    <t>Илэрсэн асуудлын товч утга</t>
  </si>
  <si>
    <t>Санхүүгийн тайлангийн үзүүлэлт</t>
  </si>
  <si>
    <t>Авлага, өр төлбөр</t>
  </si>
  <si>
    <t>Санхүүгийн шинжилгээний үр дүн</t>
  </si>
  <si>
    <t>Уулын ажил</t>
  </si>
  <si>
    <t>ЭЗҮҮ</t>
  </si>
  <si>
    <t>Хөрөнгө оруулалт</t>
  </si>
  <si>
    <t>Шилэн данс</t>
  </si>
  <si>
    <t>Нийт дүн</t>
  </si>
  <si>
    <t>Хариу тайлбар</t>
  </si>
  <si>
    <t>Асуудлын тоо</t>
  </si>
  <si>
    <t>Мөнгөн дүн</t>
  </si>
  <si>
    <t>Санхүүгийн бүртгэлд шилжүүлсэн үндсэн хөрөнгийн дүнг татвар ногдуулах зорилгоор үйлдвэрийн орлогоор бүртгэсэн ба үүний улмаас үйлдвэрийн орлого 84,087.6 сая төгрөгөөр, үйлдвэрийн зардал 92,496.4 сая төгрөгөөр тус тус үндэслэлгүйгээр нэмэгдсэн байна. /Шилжүүлсэн хөрөнгийг үндсэн хөрөнгө бор/шилжүүлсний гарзаар 92,496.4 сая төгрөгөөр бүртгэсэн/</t>
  </si>
  <si>
    <t>Нэмэгдсэн өртгийн албан татварын тухай хуулийн 13.9-д "Бараа, ажил, үйлчилгээг үйлдвэрлэлийн дотоод эргэлтэд ашигласнаас бусад хэлбэрээр бусдад үнэ төлбөргүй шилжүүлсэн буюу хувийнхаа хэрэгцээнд ашигласан бол нэмэгдсэн өртгийн албан татвараас чөлөөлөхгүй", 4.1.2-т ""бараа" гэж мөнгөн хөрөнгөнөөс бусад бүх төрлийн хөрөнгийг" гэж тус тус заасны дагуу орлогоор хүлээн зөвшөөрч бүртгэсэн.</t>
  </si>
  <si>
    <t>Шилэн дансны цахим хуудсанд эхний хагас жилийн хугацаанд 91 мэдээллээс 85 мэдээллийг хугацаанд нь, 6 мэдээллийг хугацаа хоцроон байршуулж, 85 мэдээллээс 8 мэдээллийг мэдээлэл байхгүйгээр тайлагнасан байна. Эхний хагас жилийн байдлаар “Төрийн өмчийн аж ахуйн нэгж байгууллагын зорилтот түвшин, гүйцэтгэл, хэтрэлт хэмнэлтийн шалтгаан тайлбарын хамт” гэсэн хэсэгт “мэдээлэл байхгүй” гэж оруулсан тул нийтэд мэдээлсэн мэдээлэлтэй тулган баталгаажуулах боломжгүй байна.</t>
  </si>
  <si>
    <t>Үйлдвэрийн газрын 2025 оны хөрөнгө оруулалтын төлөвлөгөөг баталсан "Эрдэнэс Монгол" ХХК-ийн ТУЗ-ын тогтоол 2024 оны 12 дугаар сарын 19-ний өдрөөр гарсан боловч эцэслэн баталгаажуулалт нь 2025 оны 01 дүгээр сарын 10-ны өдрөөс хойш буюу 2025 оны 02 дугаар сарын 10-ны өдөр хийгдсэн. Тухайн баталгаажуулалт хийгдсэн даруйд хөрөнгийн зардал, хөрөнгө оруулалтын төсөл, арга хэмжээний төлөвлөгөө, концессын зүйлийн жагсаалтын төлөвлөгөө болон 1-р сарын гүйцэтгэлийг шилэн дансны цахим системд байршуулсан болно.
Үйлдвэрийн газрын худалдан авах ажиллагааны төлөвлөгөө нь батлагдсан хөрөнгө оруулалтын төлөвлөгөө, зорилтот түвшин, бизнес төлөвлөгөөнд үндэслэн боловсруулагддаг. Хөрөнгө оруулалтын төлөвлөгөө, зорилтот түвшин, бизнес төлөвлөгөө хугацаа хоцорч батлагдсантай холбоотойгоор хойшлогдож боловсруулагдаж, батлагдсан. ХАА-ны төлөвлөгөө tender.gov.mn-д нийтлэгдсэн даруйд шилэн дансны цахим системд байршуулсан болно.
Үйлдвэрийн газрын 2024 оны зорилтот түвшний гүйцэтгэл нь жилийн эцсийн санхүүгийн тайлан эцэслэн гарсны дараа албажиж гардаг тул үүнийг хуулийн хугацаанд байршуулах боломжгүй юм. Иймд бид хавсралтаар албан ёсны мэдээллийг нөхөж оруулсан болно.</t>
  </si>
  <si>
    <t xml:space="preserve">Дарханы Төмөрлөгийн Үйлдвэр ТӨХХК </t>
  </si>
  <si>
    <t>Тус компанийн 2025 оны эхний хагас жилийн санхүүгийн тайланд тусгагдсан санхүүгийн мэдээлэл ХЭХ-д танилцуулсан мэдээлэлээс нийт орлого 4,883.8 сая төгрөгөөр дутуу, зардал 2,525.9 сая төгрөгөөр илүү илэрхийлсэн байна</t>
  </si>
  <si>
    <t>Дарханы төмөрлөгийн үйлдвэр ХХК нь төсөв, төлөвлөгөө, гүйцэтгэлийг тайланг боловсруулахдаа Эрдэнэс Монгол ХХК-аас ирүүлсэн "Нэгдлийн хуулийн этгээдийн зорилтот түвшин, төсөв, хөрөнгө оруулалтын төлөвлөгөө, тодотголын төсөл боловсруулах аргачлал"-ийг мөрдлөг болгон тайлагнадаг.
Дарханы төмөрлөгийн үйлдвэрийн 2025 оны хагас жилийн ХЭХ-ийн танилцуулгад нийт орлогод бүтээгдэхүүний борлуулалтын орлого 282,389.9 тэрбум төгрөг, түрээсийн орлого 257.9 сая төгрөг, хүүгийн орлого 847.5 сая төгрөг, бусад орлого 413.3 сая төгрөг нийт орлогыг 284.9 тэрбум төгрөгөөр танилцуулсан. Гадаад валютын ханшийн олз 4,883.8 сая төгрөгийг үйл ажиллагааны бус ашгаар зорилтот түвшинд оруулж нийт орлогод оруулаагүй.
Нийт зардлыг үйлдвэрлэл, үйл ажиллагааны нийт зардлаар буюу 244,857.9 сая төгрөгөөр танилцуулсан бөгөөд үүнээс борлуулсан бүтээгдэхүүний өртөг 242,374.0 сая төгрөг, бэлэн бүтээгдэхүүнрүү шилжих өртөг 2,483.9 сая төгрөг байна. Тус аргачлалын маягт№1-ын дагуу эдийн засгийн үндсэн үзүүлэлт, зорилтот түвшнийг бэлтгэн үүний дагуу тоон үзүүлэлтүүдийг ХЭХ-д танилцуулсан.</t>
  </si>
  <si>
    <t xml:space="preserve">Шилэн дансны цахим хуудсанд эхний хагас жилийн хугацаанд 91 мэдээллээс 78 мэдээллийг хугацаанд нь, 4 мэдээллийг хугацаа хоцроон байршуулж, 9 мэдээллийг мэдээлэл байхгүйгээр тайлагнасан байна. </t>
  </si>
  <si>
    <t>Дарханы төмөрлөгийн үйлдвэр ХХК-ийн эдийн засгийн үндсэн үзүүлэлт, зорилтот түвшин, хөрөнгө оруулалтын төлөвлөгөө, төсөв нь 2024 оны 12 дугаар сарын 19-ны өдөр Эрдэнэс Монгол ХХК-ийн ТУЗ-ийн хурлаар орсон. Төсөв, хөрөнгө оруулалтын тогтоол  2025 оны 01 дүгээр сарын 20-ны өдөр албажин ирсэн. Шилэн дансны мэдээллийг жил бүрийн 01 дүгээр сарын 10-ны дотор оруулах заалттай боловч төсөв төлөвлөгөө баталгаажин ирээгүйн улмаас мэдээллийг хугацаанд нь оруулаагүй хугацаа хоцроосон.
2025 оны төсөв, хөрөнгө оруулалтын төлөвлөгөөнд 2025 оны эхний хагас жилийн байдлаар өөрчлөлт ороогүй тул төлөвлөгөөнд өөрчлөлт ороогүйгээр тайлагнасан.</t>
  </si>
  <si>
    <t xml:space="preserve">Цемент шохой ТӨХХК </t>
  </si>
  <si>
    <t>2025 оны эхний хагас жилийн  үйл ажиллагааны нийт зардлын дүн ХЭХ-д танилцуулсан мэдээлэл, ТТ-02-ийн мэдээлэл зөрүүтэй байна</t>
  </si>
  <si>
    <t>2 удаа мэдэгдсэн ирүүлээгүй.</t>
  </si>
  <si>
    <t>Шилэн дансны цахим хуудсанд эхний хагас жилийн хугацаанд 91 мэдээллээс 65 мэдээллийг хугацаанд нь, 6 мэдээллийг хугацаа хоцроон байршуулж, 20 мэдээллийг мэдээлэл байхгүйгээр тайлагнасан байна. Эхний хагас жилийн байдлаар санхүүгийн тайлангаас Шилэн дансны мэдээлэлд орлого 620.1 сая төгрөг, авлага 46,870.2 сая төгрөгөөр илүү, үйл ажиллагааны зардал 4,231.2 сая төгрөг, өглөг 354,501.4 сая төгрөгөөр дутуу тайлагнасан байна.</t>
  </si>
  <si>
    <t>Шилэн дансны цахим хуудсанд эхний хагас жилийн хугацаанд 91 мэдээллээс 82 мэдээллийг хугацаанд нь, 3 мэдээллийг хугацаа хоцроон байршуулж, 6 мэдээллийг мэдээлэл байхгүйгээр тайлагнасан байна. Эхний хагас жилийн байдлаар санхүүгийн тайлангаас Шилэн дансны мэдээлэлд нийт орлого 4,611.4 сая төгрөг, өр төлбөр 47,616.1 сая төгрөг, авлага 19,294.4 сая төгрөг, хөрөнгө оруулалт 6,575.2 сая төгрөгөөр дутуу, үйл ажиллагааны зардал 16,626.4 сая төгрөгөөр илүү тайлагнасан байна.</t>
  </si>
  <si>
    <t>"""Эрдэнэс критикал минералс"" ТӨҮГ нь тухайн тайлант хугацааны (сар бүр)  мэдээллийг шилэн дансанд дараа сарын 8-ны өдрийн дотор байршуулж байна. 
Дээрх хугацаанд манай байгууллагын орлогын тайлан, төсвийн гүйцэтгэл, ашиг алдагдлын тайлан бүрэн гарах боломжгүй байдаг тул тухайн тайлант хугацааны орлого, өр төлбөр, авлага, хөрөнгө оруулалт, зардал, ашиг алдагдал зэргийг урьдчилан тооцоолж хүлээгдэж буй гүйцэтгэлээр мэдээллийг байршуулж байгаа болно.
Жич : төсвийн байгууллага, төрийн сантай адил сар бүрийн эцэст төсвийн хэлбэлзэл татаж тайлан гаргах боломжгүй, мөн санхүүгийн тайланг сар бүр гаргадаггүй болно. "</t>
  </si>
  <si>
    <t>Тус компани нь 2025 оны эхний хагас жилийн санхүүгийн тайлангаас ХЭХ-д танилцуулсан мэдээлэлээс орлого 2,321.3 сая төгрөгөөр дутуу илэрхийлсэн байна</t>
  </si>
  <si>
    <t>орлогыг дутуу илэрхийлсэн мэдээлэл байхгүй 2,321.3 сая төгрөгийг яаж гаргасан талаар мэдээлэл авах хэрэгтэй байна. </t>
  </si>
  <si>
    <t>Тус компани нь 2025 оны эхний хагас жилийн санхүүгийн тайлангаас ХЭХ-д танилцуулсан мэдээлэлээс нийт хөрөнгө 2,343.2 сая төгрөгөөр, өр төлбөр 37,543.9 сая төгрөгөөр зөрүүтэй илэрхийлсэн байна.</t>
  </si>
  <si>
    <t>мэдээллийн дэлгэрэнгүйтэй танилцах шаардлагаатай байна. </t>
  </si>
  <si>
    <t>Шилэн дансны цахим хуудсанд эхний хагас жилийн хугацаанд 91 мэдээллээс 79 мэдээллийг хугацаанд нь, 6 мэдээллийг хугацаа хоцроон байршуулж, 6 мэдээллийг мэдээлэл байхгүйгээр тайлагнасан байна. Эхний хагас жилийн байдлаар санхүүгийн тайлангаас Шилэн данс мэдээлэл орлого 16.0 сая төгрөг, авлага 856.1 сая төгрөгөөр илүү, үйл ажиллагааны зардал 5,532.8 сая төгрөг, өр төлбөр 15,316.5 сая төгрөг, хөрөнгө оруулалт 11,283.2 сая төгрөгөөр дутуу тайлагнасан байна.</t>
  </si>
  <si>
    <t>Шилэн дансыг улирал бүр толгой компанид тайлагнаж байгаа. Асуудлын бүртгэлд тусгасан тоонуудыг яаж гаргасан талаар тайлбар хэрэгтэй байна. </t>
  </si>
  <si>
    <t>Шилэн дансны цахим хуудсанд эхний хагас жилийн хугацаанд 124 мэдээллээс 106 мэдээллийг хугацаанд нь, 1 мэдээллийг хугацаа хоцроон байршуулж, 7  мэдээлэл оруулаагүй, 106 мэдээллээс 10 мэдээллийг мэдээлэл байхгүйгээр тайлагнасан байна. Эхний хагас жилийн байдлаар “Төрийн өмчийн аж ахуйн нэгж байгууллагын зорилтот түвшин, гүйцэтгэл, хэтрэлт хэмнэлтийн шалтгаан тайлбарын хамт” гэсэн хэсэгт “мэдээлэл байхгүй” гэж оруулсан тул нийтэд мэдээлсэн мэдээлэлтэй тулган баталгаажуулах боломжгүй байна.</t>
  </si>
  <si>
    <t>Компани нь Нягтлан бодох бүртгэлийн тухай хуулийн 10.3-д заасны дагуу санхүүгийн тайланг жилд 2 удаа буюу хагас жил болон жилийн эцэст гарган Сангийн яаманд, Аж ахуйн нэгжийн орлогын албан татварын тухай хуулийн 26.1-д заасны дагуу орлогын албан татварын тайланг улирал бүрээр гарган татварын албанд хүргүүлдэг. 
Эдгээр хуулийн зохицуулалтын дагуу санхүүгийн тайлангийн үнэн зөв байдлын нийцлийг хангаж, холбогдох хууль тогтоомжид заасан хугацааг баримтлан мэдээллийг боловсруулдаг тул санхүүгийн зарим мэдээллийг сар бүрээр бэлтгэх боломжгүй болно. 
Компанийн 2025 оны эхний хагас жилийн төсвийн гүйцэтгэлийг санхүүгийн тайлан гарсны дараа буюу 2025 оны 8 дугар сарын 8-ны өдрийн дотор шилэн дансанд тайлбар, хавсралтын хамт байршуулан ажилласан. Тодруулбал,
1. 2025 оны 1 дүгээр улирлын зорилтот түвшингийн биелэлтийн гүйцэтгэлийг 2025 оны 05 дугаар сарын 07-ны өдөр;
2. 2025 оны 2 дугаар улирлын зорилтот түвшингийн биелэлтийн гүйцэтгэлийг 2025 оны 08 дугаар сарын 08-ны өдөр;
3. 2025 оны 3 дугаар улирлын зорилтот түвшингийн биелэлтийн гүйцэтгэлийг 2025 оны 11 дүгээр сарын 04-ны өдөр тус тус байршуулсан.</t>
  </si>
  <si>
    <t>Тус компанийн 2025 оны эхний хагас жилийн  санхүүгийн тайланд тусгасан санхүүгийн үзүүлэлт ХЭХ-д танилцуулсан мэдээлэлээс орлого 402,915.3 сая төгрөгөөр дутуу илэрхийлсэн байна.</t>
  </si>
  <si>
    <t>Компанийн санхүүгийн орлогын дэлгэрэнгүй тайлан дахь "Орлогын нийт дүн"-д нүүрс борлуулалтын орлого буюу 2,473.9 тэрбум төгрөгөөс гадна Түрээсийн орлого, Хүүний орлого, Бусад орлого болон Гадаад валютын ханшийн зөрүүний олз багтсан байна. Тодруулбал
1. Түрээсийн орлого - 101.1 сая төгрөг;
2. Хүүний орлого - 41,945.0 сая төгрөг;
3. Бусад орлого - 304,091.6 сая төгрөг;
4. Гадаад валютын ханшийн зөрүүний олз - 56,777.6 сая төгрөг;
Нийт - 402,915.3 сая төгрөг байна.</t>
  </si>
  <si>
    <t>Тус компани нь ХЭХ-д танилцуулсан мэдээллээс зардлын дүн санхүүгийн гүйцэтгэлээс 209.6 сая төгрөгөөр илүү илэрхийлсэн байна.</t>
  </si>
  <si>
    <t>2025 оны 12 сарын 31-ний өдрөөр Эрдэнэс Монгол нэгдэлд 339,714,236.74 төгрөгийн өглөгтэй гарсан. 2026 оны эхний хагас жилийн тайланд тус эхний үлдэгдлийг бууруулсан байна.</t>
  </si>
  <si>
    <t>Шилэн дансны цахим хуудсанд эхний хагас жилийн хугацаанд 91 мэдээллээс 60 мэдээллийг хугацаанд нь, 3 мэдээллийг хугацаа хоцроон байршуулж, 28 мэдээллийг мэдээлэл байхгүйгээр тайлагнасан байна. Эхний хагас жилийн байдлаар “Төрийн өмчийн аж ахуйн нэгж байгууллагын зорилтот түвшин, гүйцэтгэл, хэтрэлт хэмнэлтийн шалтгаан тайлбарын хамт” гэсэн хэсэгт “мэдээлэл байхгүй” гэж оруулсан тул нийтэд мэдээлсэн мэдээлэлтэй тулган баталгаажуулах боломжгүй байна.</t>
  </si>
  <si>
    <t xml:space="preserve">“Нэгдлийн дотоод хяналт хэрэгжүүлэх жишиг аргачлал”-ын дагуу тайлангийн маягтыг боловсруулж, 2025 оны 1 дүгээр улирлын байдлаар хяналт хийлгэж, ШИЛЭН ДАНСНЫ ЦАХИМ ХУУДСАНД ТАВИХ МЭДЭЭЛЛИЙН АГУУЛГА, НИЙТЛЭГ СТАНДАРТЫГ ТОГТООХ ЖУРАМ 4.2-т зааснаар, шилэн дансны мэдээллийг оруулж байх талаар зөвлөмж ирүүлсэн. Тус зөвлөмж ирэхээс өмнө манай компани нь, Төрийн өмчит аж ахуйн нэгжийн оруулах мэдээллийн дагуу 25 мэдээлэл байршуулдаг бөгөөд тус мэдээллийн ихэнхи хувь нь манай компанийн үйл ажиллагаанд хамаарахгүй заалтууд байсан.
Бид зөвлөмжийн дагуу 2025 оны 06 сараас сангийн яаманд хандан ШИЛЭН ДАНСНЫ ЦАХИМ ХУУДСАНД ТАВИХ МЭДЭЭЛЛИЙН АГУУЛГА, НИЙТЛЭГ СТАНДАРТЫГ ТОГТООХ ЖУРАМ 4.2-ийг 2025 оны 08 сараас тохиргоог хийлгэн шилэн дансны мэдээллийг 2025 оны 1 сараас нөхөн оруулж өнөөдрийн байдлаар ажиллаж байна. </t>
  </si>
  <si>
    <t>Тус компанийн 2025 оны эхний хагас жилийн санхүүгийн тайланд тусгагдсан татварын дараах цэвэр ашгийн дүн ХЭХ-д танилцуулсан мэдээлэлд 194.1 сая төгрөг, авлага 5668.8 сая төгрөгөөр дутуу илэрхийлсэн байна</t>
  </si>
  <si>
    <t>Компанийн 2025 оны эхний хагас жилийн санхүүгийн тайланд тусгагдсан татварын дараах цэвэр ашгийн дүн 1.903.2 сая төгрөгөөр тусгагдсан байна. Авлага 8.875.5 сая төгрөг байна /Хавсралт илгээлээ/</t>
  </si>
  <si>
    <t>Шилэн дансны цахим хуудсанд эхний хагас жилийн хугацаанд 91 мэдээллээс 53 мэдээллийг хугацаанд нь, 3 мэдээллийг хугацаа хоцроон байршуулж, 35 мэдээллийг мэдээлэл байхгүйгээр тайлагнасан байна. Эхний хагас жилийн байдлаар санхүүгийн тайлангаас Шилэн дансны мэдээлэлд орлого 132.1 сая төгрөг, үйл ажиллагааны зардал 6,723.8 сая төгрөгөөр илүү, өр төлбөр 7,816.6, авлага 3,606.0 сая төгрөг, хөрөнгө оруулалт 354.0 сая төгрөгөөр дутуу тайлагнасан байна.</t>
  </si>
  <si>
    <t>Шилэн дансны хуулиар сар бүрийн 8 дотор мэдээллээ явуулах шаарлагатай байдаг. Тухай бүрт санхүүгийн тайлан эцэслэгдээгүй байдаг тул хүлээгдэж буй гүйцэтгэлээр мэдээлэл оруулдагтай холбоотой зөрүү үүссэн байна.</t>
  </si>
  <si>
    <t>Тус компанийн 2025 оны эхний хагас жилийн санхүүгийн тайланд тусгасан санхүүгийн үзүүлэлтээс ХЭХ-д танилцуулсан мэдээлэлд хөрөнгө оруулалт 6,267.8 сая төгрөгөөр илүү танилцуулсан байна.</t>
  </si>
  <si>
    <t>2025 оны 8 дугаар сарын 22-ны өдөр "Эрдэнэт ТӨҮГ"-т "Эрдэнэс Монгол" нэгдлийн охин компаниуд 2025 оны эхний хагас жилийн санхүүгийн тайлангийн хурал болсон. Тус хурал дээр танилцуулагдсан "Шивээ Овоо" ХК-ийн тайлангийн танилцуулгад 2025 оны хөрөнгө оруулалтын төлөвлөгөөний гүйцэтгэлийг 4,116.5 сая төгрөгөөр тайлагнасан болно. Тус хурал дээр танилцуулагдсан танилцуулгыг хавсралтаар хүргүүлэв.</t>
  </si>
  <si>
    <t>Шилэн дансны цахим хуудсанд эхний хагас жилийн хугацаанд 91 мэдээллээс 90 мэдээллийг хугацаанд нь, 1 мэдээллийг мэдээлэл байхгүйгээр тайлагнасан байна. Эхний хагас жилийн байдлаар санхүүгийн тайлангаас Шилэн дансны мэдээлэлд орлого 80.2 сая төгрөг, өр төлбөр 5,351.0 сая төгрөг, авлага 3,187.0 сая төгрөгөөр дутуу, үйл ажиллагааны зардал 4,171.8 сая төгрөгөөр илүү мэдээлсэн байна.</t>
  </si>
  <si>
    <t xml:space="preserve">Шилэн дансанд тухайн мэдээллүүдийг байршуулах өдрүүд сар бүрийн 8-ны өдрөөр тасалбар болдог. Гэвч манай компани болон харилцагч байгууллагуудын хоорондын тооцоо нийлсэн акт цаг хугацааны хувьд бүрэн бүрдэж амждаггүйгээс бүртгэл эцэслэгдэхгүй, орлого, зардал, авлага, өглөг  илүү, дутуу  бүртгэгдэх тохиолдол үүсч байна. Цаашид аудитаар өгөгдсөн зөвлөмжийг бүрэн хэрэгжүүлж ажиллахад анхаарч ажиллана. </t>
  </si>
  <si>
    <t>Тус компанийн 2025 оны эхний хагас жилийн санхүүгийн тайланд тусгасан санхүүгийн үзүүлэлтээс ХЭХ-д танилцуулсан мэдээлэлд үйл ажиллагааны зардал 46.5 сая төгрөг, хөрөнгө оруулалт 795.1 сая төгрөгөөр илүү танилцуулсан байна</t>
  </si>
  <si>
    <t>Үйл ажиллагааны зардлын зөрүү нь 2025 оны эхний хагас жилийн мөнгөн гүйлгээний тайлангийн мөнгөн зарлагын 2,260.5 төгрөгийн дүнгээр танилцуулганд оруулсан.
Хөрөнгө оруулалтын зөрүү нь дараах ажлуудын гэрээний төлбөрүүд эхний хагас жилд хийгдэхээр тооцож нэмж оруулж танилцуулсан.
1. Багануур ҮТП Нүүрс-химийн цогцолборын ерөнхий төлөвлөгөө, Нүүрс пиролизын үйлдвэрийн ТЭЗҮ боловсруулах гэрээний эхний төлбөр 486 сая төгрөг,
2. Хөтөл ҮТП-ийн Шохойн үйлдвэрийн технологийн түвшний үнэлгээ боловсруулах, батлуулах, шинжээчийн дүгнэлт гаргуулах гэрээний үлдэгдэл төлбөр 129.8 сая төгрөг,
3. Бор-Өндөр ҮТП-ийн Төмрийн хорголжийн үйлдвэрийн техник, технологийн түвшний үнэлгээ боловсруулах, батлуулах, шинжээчийн дүгнэлт гаргуулах гэрээний үлдэгдэл төлбөр 67.8 сая төгрөг,
4. Тавантолгой ҮТП-ийн Кокс-Эрчим хүчний үйлдвэрийн технологийн түвшний үнэлгээ боловсруулах, батлуулах, шинжээчийн дүгнэлт гаргуулах гэрээний үлдэгдэл төлбөр 111.3 сая төгрөг, нийт 795.1 сая төгрөг болно.</t>
  </si>
  <si>
    <t>Шилэн дансны цахим хуудсанд эхний хагас жилийн хугацаанд 91 мэдээллээс 66 мэдээллийг хугацаанд нь, 9 мэдээллийг хугацаа хоцроон байршуулж, 13  мэдээлэл оруулаагүй, 3 мэдээллийг мэдээлэл байхгүйгээр тайлагнасан байна. Эхний хагас жилийн байдлаар санхүүгийн тайлангаас Шилэн дансны мэдээлэлд орлого 3.5 сая төгрөг, үйл ажиллагааны зардал 166.1 сая төгрөгөөр дутуу тайлагнасан байна.</t>
  </si>
  <si>
    <t>Шилэн дансны цахим хуудсанд эхний хагас жилийн хугацаанд 91 мэдээллээс 83 мэдээллийг хугацаанд нь 8 мэдээллийг хугацаа хоцроон байршуулсан, 56 мэдээллийг байхгүй гэж тайлагнасан. Шилэн дансны хуулийн дагуу мэдээлэл байршуулах хугацаанд санхүүгийн тайлан баталгаажаагүй байсан тул орлого зарлагын дансны хаалтын дараагаар мэдээлэлд өөрчлөлт орсон.</t>
  </si>
  <si>
    <t>Шилэн дансны цахим хуудсанд эхний хагас жилийн хугацаанд 91 мэдээллээс 83 мэдээллийг хугацаанд нь, 8 мэдээллийг мэдээлэл байхгүйгээр тайлагнасан байна. Эхний хагас жилийн байдлаар санхүүгийн тайлангаас Шилэн дансны мэдээлэлд орлого 1.5 сая төгрөг, нийт зардлыг 45,313.9 сая төгрөг, өр төлбөр 974.3 сая төгрөгөөр дутуу, авлага 341.5 сая төгрөгөөр илүү илэрхийлсэн байна.</t>
  </si>
  <si>
    <t>Тайлан гаргахаас өмнө шилэн дансны
мэдээллийг хугацаандаа шивэх гээд урьдчилж оруулсан дүн байдаг болохоор санхүүгийн тайлантай зөрж байгаа.</t>
  </si>
  <si>
    <t>Тус компанийн 2025 оны эхний хагас жилийн  санхүүгийн тайланд тусгасан санхүүгийн үзүүлэлт ХЭХ-д танилцуулсан мэдээлэлээс орлого 56.9 сая төгрөг, зардал 117.8 сая төгрөгөөр дутуу танилцуулсан байна.</t>
  </si>
  <si>
    <t>Засгийн газрын хэрэг эрхлэх газар 2025 оны эхний хагас жилийн санхүүгийн тайланг танилцуулахдаа урьдчилж гарсан зардал болох 117.8 сая төгрөгийн  гэрээт ажлын зардлыг дараагийн 3.4-р улиралд зорилтот түвшний гүйцэтгэлээр  тайлагнасан.</t>
  </si>
  <si>
    <t xml:space="preserve">Он дамнасан хөрөнгө оруулалтын зардал буюу албан оффисын худалдан авалтын үлдэгдэл санхүүжилт болох 2,474.0 сая төгрөгийн зардлыг ТУЗ-д санал оруулж батлуулаагүй байна. </t>
  </si>
  <si>
    <t>Тус компани нь 2024 оны “Эрдэнэс Монгол” ХХК-ны ТУЗ-ийн  хууль журмын хүрээнд  хөрөнгө оруулалтын төлөвлөсний дагуу оффисын байр тендер зарлаж гэрээ байгуулсан боловч ашиглалтад орох хугацаа манайхаас үл хамааран хойшлогдож жил дамжсан, Нягтлан бодох бүртгэлийн тухай хуулийн 13 дугаар зүйлийн 13.7-д Анхан шатны баримтын бүрдэлгүй ажил, гүйлгээг бүртгэх, санхүүгийн тайланд тусгахыг хориглоно гэж заасан тул  30% төлбөрийг нь ашиглалтад орж үл хөдлөхийн гэрчилгээ авснаар баталгаажин төлөгдөх 2.5 тэрбумын өглөгийг тусгах боломжгүй байсан тул мөнгөн хөрөнгийн үлдэгдлээр шийдвэрлэсэн.</t>
  </si>
  <si>
    <t>Шилэн дансны цахим хуудсанд эхний хагас жилийн хугацаанд 91 мэдээллээс 82 мэдээллийг хугацаанд нь, 1 мэдээллийг хугацаа хоцроон байршуулж, 3 мэдээллийг мэдээлэл байхгүйгээр тайлагнасан байна. Эхний хагас жилийн байдлаар санхүүгийн тайлангаас Шилэн дансны мэдээлэлд орлого 224.3 сая төгрөг, үйл ажиллагааны зардал 117.7 сая төгрөг, өр төлбөрийг 536.4 сая төгрөгөөр тус тус дутуу илэрхийлсэн байна.</t>
  </si>
  <si>
    <t>Шилэн дансны цахим хуудсанд эхний хагас жилийн хугацаанд мэдээллийг бүрэн оруулсан ба Төрийн өмчийн аж ахуйн нэгж байгууллагын зорилтот түвшин, гүйцэтгэлийг тайланг хугацаанд нь оруулсан боловч ил тод болгохдоо хугацаа хоцроосон. "Эрдэнэс монгол" ХХК толгой компанийн дотоод аудитаас  шилэн дансны тайланг улирал бүр авч хэрэгжилтийг хянал үнэлгээ өгдөг   шилэн дансны хэрэгжилтийн үнэлгээний тайланг хавсаргалаа.</t>
  </si>
  <si>
    <t>Тус компанийн 2025 оны эхний хагас жилийн санхүүгийн тайлангаас ХЭХ-д танилцуулсан мэдээлэл орлого, зардал 0.3 сая төгрөгөөр дутуу, хөрөнгө оруулалтын зардал 1,697.7 сая төгрөг, өр төлбөр 500.0 сая төгрөг, нийт хөрөнгийн дүнг 51.6 сая төгрөгөөр илүү танилцуулсан байна.</t>
  </si>
  <si>
    <t>Хагас жилийн танилцуулганд орлого, зардлыг танилцуулахдаа хүлээгдэж буй гүйцэтгэлээр танилцуулсны улмаас санхүүгийн тайлангаас зөрүүтэй танилцуулсан байна. Хөрөнгө оруулалт гэдэг баганад охин ба хараат компанид оруулсан хөрөнгө оруулалт буюу үнэ төлбөргүй эзэмшиж буй хувьцааны дүнг танилцуулсан ба энэ нь манай компаний хөрөнгө оруулалтын зардал биш юм.</t>
  </si>
  <si>
    <t>Шилэн дансны цахим хуудсанд эхний хагас жилийн хугацаанд 91 мэдээллээс 71 мэдээллийг хугацаанд нь, 3 мэдээллийг хугацаа хоцроон байршуулж, 3 мэдээллийг мэдээлэл байхгүйгээр тайлагнасан байна. Эхний хагас жилийн байдлаар санхүүгийн тайлангаас Шилэн дансны мэдээлэлд орлого 0.3 сая төгрөг, үйл ажиллагааны зардал 497.4 сая төгрөг, өр төлбөр 1,121.3 сая төгрөг, авлага 96.5 сая төгрөгөөр дутуу, хөрөнгө оруулалт 1,697.8 сая төгрөгөөр илүү мэдээлсэн байна.</t>
  </si>
  <si>
    <t>Цаашид шилэн дансанд мэдээллийг хуулийн дагуу цаг хугацаанд нь бүрэн оруулж байхыг анхаарч ажиллана.</t>
  </si>
  <si>
    <t>Шилэн дансны цахим хуудсанд эхний хагас жилийн хугацаанд 91 мэдээллээс 87 мэдээллийг хугацаанд нь, 4 мэдээллийг хугацаа хоцроон байршуулж, байхгүйгээр тайлагнасан байна. Эхний хагас жилийн байдлаар санхүүгийн тайлангаас Шилэн дансны мэдээлэлд үйл ажиллагааны зардлыг 0.2 сая төгрөгөөр илүү, өр төлбөр 4,607.8 сая төгрөгөөр дутуу мэдээлсэн байна.</t>
  </si>
  <si>
    <t>1. 2025 оны төсвийн төсөл 2025 оны 01-р сарын 07-ны Эрдэнэс Монгол ХХК-ийн ТУЗ-ийн  хурлаар хэлэлцсэн ба албажсан төсвийн тогтоол 2025 оны 01-р сарын 16-ны өдөр цахим шуудангаар ирсэн тул 01-р сард байршуулах 2 тайлан хоцорсон, 02-р сард байршуулах мэдээлэл хугацаанаа байршсан боловч ЭУДХГ-аас утсаар зөвлөмж өгсний дагуу засвар оруулснаар тайлан хоцорсон төлөвт шилжсэн.
2. Шилэн данс болон төсвийн гүйцэтгэлийг аккруэл сууриар бүртгэдэг байсныг Эрдэнэс Монгол ХХК-ийн төслийн санхүүжилт хариуцдаг мэргэжилтэн мөнгөн сууриар бүртгэл хийх тухай зааварласны дагуу доорх 2 асуудал үүссэн байна. Шилэн дансны тайланд тусгадаг санхүүгийн тайлан аккруэл сууриар бүртгэснээр 0.2 сая төгрөгийн зөрүү үүссэн.
3. Шилэн дансанд тусгагдсан өр төлбөрийн дүн нь тайлант хугацаанд шинээр үүссэн  нийт өр төлбөрийн хэмжээ. Харин санхүүгийн тайланд тусгагдсан өр төлбөрийн дүн нь 2016 оноос хойш үүссэн санхүүжилтийн үндсэн төлбөр болон зээлийн хүүгийн дүнг хамарсан бөгөөд үүнээс шалтгаалан 4,607.1 сая төгрөгийн зөрүү үүссэн болно.</t>
  </si>
  <si>
    <t>Шилэн дансны цахим хуудсанд эхний хагас жилийн хугацаанд 91 мэдээллээс 78 мэдээллийг хугацаанд нь, 12 мэдээллийг оруулаагүй тайлагнасан байна. Эхний хагас жилийн байдлаар санхүүгийн тайлангаас Шилэн дансны мэдээлэлд орлогыг 0.8 сая төгрөг, үйл ажиллагааны зардлыг 16.5 сая төгрөг, хөрөнгө оруулалтын зардлыг 213.0 сая төгрөгөөр тус тус дутуу, нийт өр төлбөрийн дүнг 66.0 сая төгрөгөөр илүү мэдээлсэн байна.</t>
  </si>
  <si>
    <t>"Шилэн дансны тухай хууль"-ийн хэрэгжилтэд хийсэн хяналтын тайлангаар 2025 оны эхний хагас жилийн хэрэгжилтээр цалингийн зардлаас бусад таван сая төгрөгөөс дээш үнийн дүн бүхий орлогын мөнгөн гүйлгээ” тайлангийн гүйлгээнүүдийг ерөнхий журналтай тулган шалгахад 398,103.0 төгрөгийн 4 гүйлгээ байршуулсанаас тухай бүрт байршуулаагүй 215,080.0 төгрөгийн 2 гүйлгээг хоцроосон байна. Цалингийн зардлаас бусад таван сая төгрөгөөс дээш үнийн дүн бүхий зарлагын мөнгөн гүйлгээ” тайлангийн 211,256.0 төгрөгийн 16 гүйлгээг байршуулсанаас тухай бүрт байршуулаагүй хоцроосон 78,961.0 төгрөгийн 7 гүйлгээ байна.</t>
  </si>
  <si>
    <t xml:space="preserve">Тус компанийн 2025 оны эхний хагас жилийн санхүүгийн тайланд тусгагдсан мэдээллээс ХЭХ-д танилцуулсан санхүүгийн мэдээлэл орлого 0.3 сая төгрөг, зардал 15.9 сая төгрөгөөр дутуу танилцуулсан байна. </t>
  </si>
  <si>
    <t xml:space="preserve">ХЭХ-д 2025 оны 6-р сар хүртэлх өссөн дүнгээрх төсвийн гүйцэтгэлийн тайлангийн дүнг хүргүүлсэн байна. Тус зөрүү нь 2025 оны хагас жилийн Орлогын дэлгэрэнгүй тайланд тусгасан Хүүгийн орлого 300к, 2025 оны 7-р сард шилжүүлсэн хувь хүмүүст өгөх өглөгийн дүн байна. </t>
  </si>
  <si>
    <t>Шилэн дансны цахим хуудсанд эхний хагас жилийн хугацаанд 64 мэдээллээс 56 мэдээллийг хугацаанд нь, 1 мэдээллийг хугацаа хоцроон байршуулж, 7 мэдээллийг мэдээлэл байхгүйгээр тайлагнасан байна. Эхний хагас жилийн байдлаар санхүүгийн тайлангаас Шилэн дансны мэдээлэлд орлого 0.3 сая төгрөг, үйл ажиллагааны зардал 38.1 сая төгрөгөөр дутуу мэдээлсэн байна.</t>
  </si>
  <si>
    <t xml:space="preserve">Шилэн дансны тайланд хүүгийн орлогын мэдээг тайлагнаагүй байна. Үндсэн үйл ажиллагааны орлогогүй гэдгээрээ мэдээлэх шаардлагагүй гэж үзсэн юм.
Үйл ажиллагааны зардалд тайлагнаагүй 38.9 нь ямар ямар зардал болохыг мэдэх боломжтой юу? Цалинтай холбоотой гэж үзээд НДШ, ХХОАТ -ын зардлыг 3-5 сард тайлагнаагүй үлдээсэн, 6 сараас эхлэн тайлагнаж эхэлсэн. Шилэн дансанд тайлан анх удаа шивж байгаа туршлагатай. </t>
  </si>
  <si>
    <t>НИЙТ ДҮН</t>
  </si>
  <si>
    <t>Үйлдвэрийн эхний хагас жилийн зардлын төсөвлөсөн дүнгээс үйл ажиллагааны зардал 43,580.0 сая төгрөгөөр, үйл ажиллагааны бус зардал 24,407.3 сая төгрөгөөр, нийгмийн цехүүдийн болон нийгэм соёлын арга хэмжээний зардал 48,057.0 сая төгрөгөөр тус тус хэтрүүлэн зарцуулсан байна.</t>
  </si>
  <si>
    <t>Эрдэнэс монгол ХХК-ийн ТУЗ-ийн 2025 оны 10 дугаар сарын 07-ны өдрийн 93 дугаар тогтоолоор "Эрдэнэт үйлдвэр" ТӨҮГ-ын 2025 оны эдийн засгийн үндсэн үзүүлэлт, зорилтот түвшин, төсөв, хөрөнгө оруулалтын төлөвлөгөөнд өөрчлөлт оруулсан.</t>
  </si>
  <si>
    <t>Татварын болон санхүүгийн тайлангийн зарим үзүүлэлтүүд зөрүүтэй илэрхийлэгдсэн байна. (Татварын болон санхүүгийн 2025 оны эхний хагас жилийн тайлангаас үндсэн ба үндсэн бус үйл ажиллагааны орлого 526.5 сая төгрөгөөр, зардал 157,358.4 сая төгрөгөөр зөрүүтэй илэрхийлсэн байна.)</t>
  </si>
  <si>
    <t>Бусад борлуулалтын орлогын дүн нь үйлдвэрийн цехүүдийн гадны байгууллагад үзүүлсэн ажил үйлчилгээний борлуулалтын 5109-00 данс, гадны байгууллагад худалдсан бараа материалын борлуулалтын 5111-00 дансууд нэгтгэгддэг ба эдгээр орлогод өртөг тооцогддог тул туслах үйлдвэрлэл, үйлчилгээний орлогоор тооцсон.</t>
  </si>
  <si>
    <t>Тус компанийн 2025 оны эхний хагас жилийн санхүүгийн тайланд тусгасан санхүүгийн үзүүлэлтээс Татварын албаны цахим тайланд орлогын дүнг 1.6 сая төгрөгөөр илүү илэрхийлсэн байна.</t>
  </si>
  <si>
    <t>Татварын тайлан дээр 1,568,587.47 бодит бус орлогын дүн тавигдсан учир тухайн дүнгээр зөрнө.</t>
  </si>
  <si>
    <t>....... ХХК-ИЙН 2025 ОНЫ ЭХНИЙ ХАГАС ЖИЛИЙН ҮЙЛ АЖИЛЛАГААНЫ ТАЙЛАНГИЙН САНХҮҮГИЙН МЭДЭЭЛЛИЙН БАТАЛГААЖУУЛАЛТЫН АУДИТААР ИЛЭРСЭН АСУУДЛЫН ХАРИУ ТАЙЛБАР</t>
  </si>
  <si>
    <t>мөнгөн дүн</t>
  </si>
  <si>
    <t>Шалгуур</t>
  </si>
  <si>
    <t>Шилэн дансны тухай хуулийн 4.1.1-д "Мэдээлэл үнэн зөв, бодитой, иж бүрэн байх", 4.1.3-т "Тогтоосон хугацаанд тогтмол, шуурхай мэдээлдэг байх"</t>
  </si>
  <si>
    <t>Дүн</t>
  </si>
  <si>
    <t>Гарын үсэг</t>
  </si>
  <si>
    <t>Дотоод аудитын БА-2025/11 дугаартай тайлангийн хавсралт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</si>
</sst>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_);_(* \(#,##0.0\);_(* &quot;-&quot;??_);_(@_)"/>
    <numFmt numFmtId="165" formatCode="0.0"/>
  </numFmts>
  <fonts count="11" x14ac:knownFonts="1">
    <font>
      <sz val="11"/>
      <color theme="1"/>
      <name val="Calibri"/>
      <family val="2"/>
      <scheme val="minor"/>
    </font>
    <font>
      <sz val="11"/>
      <color theme="1"/>
      <name val="Calibri"/>
      <family val="2"/>
      <scheme val="minor"/>
    </font>
    <font>
      <sz val="10"/>
      <name val="Arial"/>
      <family val="2"/>
    </font>
    <font>
      <sz val="10"/>
      <color theme="1"/>
      <name val="Arial"/>
      <family val="2"/>
    </font>
    <font>
      <b/>
      <sz val="11"/>
      <color theme="1"/>
      <name val="Calibri"/>
      <family val="2"/>
      <scheme val="minor"/>
    </font>
    <font>
      <b/>
      <sz val="10"/>
      <color rgb="FF000000"/>
      <name val="Arial"/>
      <family val="2"/>
    </font>
    <font>
      <sz val="10"/>
      <color rgb="FF000000"/>
      <name val="Arial"/>
      <family val="2"/>
    </font>
    <font>
      <b/>
      <sz val="10"/>
      <color theme="1"/>
      <name val="Arial"/>
      <family val="2"/>
    </font>
    <font>
      <sz val="9"/>
      <color rgb="FF000000"/>
      <name val="Arial"/>
      <family val="2"/>
    </font>
    <font>
      <sz val="11"/>
      <color theme="1"/>
      <name val="Arial"/>
      <family val="2"/>
    </font>
    <font>
      <sz val="10"/>
      <color rgb="FF000000"/>
      <name val="Arial"/>
      <family val="2"/>
    </font>
  </fonts>
  <fills count="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FFFFFF"/>
        <bgColor rgb="FF000000"/>
      </patternFill>
    </fill>
  </fills>
  <borders count="7">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2" fillId="0" borderId="0"/>
    <xf numFmtId="9" fontId="1" fillId="0" borderId="0" applyFont="0" applyFill="0" applyBorder="0" applyAlignment="0" applyProtection="0"/>
    <xf numFmtId="43" fontId="1" fillId="0" borderId="0" applyFont="0" applyFill="0" applyBorder="0" applyAlignment="0" applyProtection="0"/>
    <xf numFmtId="0" fontId="2" fillId="0" borderId="0"/>
    <xf numFmtId="0" fontId="1" fillId="0" borderId="0"/>
    <xf numFmtId="0" fontId="1" fillId="0" borderId="0"/>
    <xf numFmtId="43" fontId="1" fillId="0" borderId="0" applyFont="0" applyFill="0" applyBorder="0" applyAlignment="0" applyProtection="0"/>
  </cellStyleXfs>
  <cellXfs count="83">
    <xf numFmtId="0" fontId="0" fillId="0" borderId="0" xfId="0"/>
    <xf numFmtId="0" fontId="0" fillId="0" borderId="5" xfId="0" applyBorder="1" applyAlignment="1">
      <alignment horizontal="center" vertical="center"/>
    </xf>
    <xf numFmtId="0" fontId="0" fillId="0" borderId="0" xfId="0" applyAlignment="1">
      <alignment horizontal="center" vertical="center"/>
    </xf>
    <xf numFmtId="0" fontId="4" fillId="0" borderId="5" xfId="0" applyFont="1" applyBorder="1" applyAlignment="1">
      <alignment horizontal="center" vertical="center"/>
    </xf>
    <xf numFmtId="0" fontId="0" fillId="0" borderId="5" xfId="0" applyBorder="1" applyAlignment="1">
      <alignment vertical="center"/>
    </xf>
    <xf numFmtId="0" fontId="9" fillId="0" borderId="5" xfId="0" applyFont="1" applyBorder="1" applyAlignment="1">
      <alignment vertical="center"/>
    </xf>
    <xf numFmtId="0" fontId="9" fillId="0" borderId="0" xfId="0" applyFont="1" applyAlignment="1">
      <alignment vertical="center"/>
    </xf>
    <xf numFmtId="0" fontId="9" fillId="0" borderId="5" xfId="0" applyFont="1" applyBorder="1" applyAlignment="1">
      <alignment horizontal="center" vertical="center"/>
    </xf>
    <xf numFmtId="0" fontId="9" fillId="0" borderId="0" xfId="0" applyFont="1" applyAlignment="1">
      <alignment horizontal="center" vertical="center"/>
    </xf>
    <xf numFmtId="0" fontId="9" fillId="0" borderId="1" xfId="0" applyFont="1" applyBorder="1" applyAlignment="1">
      <alignment horizontal="center" vertical="center"/>
    </xf>
    <xf numFmtId="0" fontId="9" fillId="0" borderId="0" xfId="0" applyFont="1" applyAlignment="1">
      <alignment horizontal="center" vertical="center" wrapText="1"/>
    </xf>
    <xf numFmtId="0" fontId="9" fillId="0" borderId="5" xfId="0" applyFont="1" applyBorder="1" applyAlignment="1">
      <alignment horizontal="right" vertical="center"/>
    </xf>
    <xf numFmtId="0" fontId="9" fillId="0" borderId="0" xfId="0" applyFont="1" applyAlignment="1">
      <alignment horizontal="right" vertical="center"/>
    </xf>
    <xf numFmtId="0" fontId="9" fillId="0" borderId="3" xfId="0" applyFont="1" applyBorder="1" applyAlignment="1">
      <alignment horizontal="center" vertical="center"/>
    </xf>
    <xf numFmtId="0" fontId="9" fillId="0" borderId="0" xfId="0" applyFont="1"/>
    <xf numFmtId="0" fontId="9" fillId="0" borderId="5" xfId="0" applyFont="1" applyBorder="1" applyAlignment="1">
      <alignment vertical="center" wrapText="1"/>
    </xf>
    <xf numFmtId="0" fontId="3" fillId="0" borderId="5" xfId="0" applyFont="1" applyBorder="1" applyAlignment="1">
      <alignment vertical="center" wrapText="1"/>
    </xf>
    <xf numFmtId="0" fontId="0" fillId="0" borderId="6" xfId="0" applyBorder="1" applyAlignment="1">
      <alignment vertical="center"/>
    </xf>
    <xf numFmtId="0" fontId="4" fillId="0" borderId="2" xfId="0" applyFont="1" applyBorder="1" applyAlignment="1">
      <alignment horizontal="center" vertical="center"/>
    </xf>
    <xf numFmtId="0" fontId="0" fillId="0" borderId="4" xfId="0" applyBorder="1" applyAlignment="1">
      <alignment vertical="center"/>
    </xf>
    <xf numFmtId="164" fontId="3" fillId="0" borderId="0" xfId="7" applyNumberFormat="1" applyFont="1" applyAlignment="1">
      <alignment horizontal="center"/>
    </xf>
    <xf numFmtId="164" fontId="3" fillId="0" borderId="0" xfId="7" applyNumberFormat="1" applyFont="1"/>
    <xf numFmtId="164" fontId="3" fillId="0" borderId="0" xfId="7" applyNumberFormat="1" applyFont="1" applyAlignment="1">
      <alignment vertical="center"/>
    </xf>
    <xf numFmtId="0" fontId="8" fillId="2" borderId="5" xfId="0" applyFont="1" applyFill="1" applyBorder="1" applyAlignment="1">
      <alignment vertical="center"/>
    </xf>
    <xf numFmtId="0" fontId="8" fillId="2" borderId="5" xfId="0" applyFont="1" applyFill="1" applyBorder="1" applyAlignment="1">
      <alignment vertical="center" wrapText="1"/>
    </xf>
    <xf numFmtId="0" fontId="9" fillId="2" borderId="5" xfId="0" applyFont="1" applyFill="1" applyBorder="1" applyAlignment="1">
      <alignment vertical="center" wrapText="1"/>
    </xf>
    <xf numFmtId="164" fontId="5" fillId="0" borderId="5" xfId="7" applyNumberFormat="1" applyFont="1" applyBorder="1" applyAlignment="1">
      <alignment horizontal="center" vertical="center"/>
    </xf>
    <xf numFmtId="164" fontId="5" fillId="4" borderId="5" xfId="7" applyNumberFormat="1" applyFont="1" applyFill="1" applyBorder="1" applyAlignment="1">
      <alignment vertical="center"/>
    </xf>
    <xf numFmtId="164" fontId="5" fillId="4" borderId="5" xfId="7" applyNumberFormat="1" applyFont="1" applyFill="1" applyBorder="1"/>
    <xf numFmtId="164" fontId="7" fillId="3" borderId="0" xfId="7" applyNumberFormat="1" applyFont="1" applyFill="1"/>
    <xf numFmtId="164" fontId="6" fillId="0" borderId="0" xfId="7" applyNumberFormat="1" applyFont="1" applyAlignment="1">
      <alignment horizontal="center" vertical="center"/>
    </xf>
    <xf numFmtId="164" fontId="6" fillId="0" borderId="0" xfId="7" applyNumberFormat="1" applyFont="1"/>
    <xf numFmtId="164" fontId="6" fillId="0" borderId="0" xfId="7" applyNumberFormat="1" applyFont="1" applyAlignment="1">
      <alignment horizontal="center"/>
    </xf>
    <xf numFmtId="164" fontId="6" fillId="0" borderId="0" xfId="7" applyNumberFormat="1" applyFont="1" applyAlignment="1">
      <alignment horizontal="right"/>
    </xf>
    <xf numFmtId="164" fontId="6" fillId="0" borderId="5" xfId="7" applyNumberFormat="1" applyFont="1" applyBorder="1" applyAlignment="1">
      <alignment vertical="center" wrapText="1"/>
    </xf>
    <xf numFmtId="164" fontId="6" fillId="0" borderId="5" xfId="7" applyNumberFormat="1" applyFont="1" applyBorder="1" applyAlignment="1">
      <alignment horizontal="center" vertical="center" wrapText="1"/>
    </xf>
    <xf numFmtId="164" fontId="10" fillId="0" borderId="5" xfId="7" applyNumberFormat="1" applyFont="1" applyBorder="1" applyAlignment="1">
      <alignment horizontal="center" vertical="center"/>
    </xf>
    <xf numFmtId="164" fontId="6" fillId="0" borderId="5" xfId="7" applyNumberFormat="1" applyFont="1" applyBorder="1" applyAlignment="1">
      <alignment horizontal="center"/>
    </xf>
    <xf numFmtId="164" fontId="6" fillId="0" borderId="5" xfId="7" applyNumberFormat="1" applyFont="1" applyBorder="1" applyAlignment="1">
      <alignment horizontal="center" vertical="center"/>
    </xf>
    <xf numFmtId="164" fontId="6" fillId="0" borderId="5" xfId="7" applyNumberFormat="1" applyFont="1" applyBorder="1" applyAlignment="1">
      <alignment vertical="center"/>
    </xf>
    <xf numFmtId="164" fontId="5" fillId="4" borderId="5" xfId="7" applyNumberFormat="1" applyFont="1" applyFill="1" applyBorder="1" applyAlignment="1">
      <alignment horizontal="center" vertical="center"/>
    </xf>
    <xf numFmtId="164" fontId="10" fillId="0" borderId="5" xfId="7" applyNumberFormat="1" applyFont="1" applyBorder="1" applyAlignment="1">
      <alignment vertical="center"/>
    </xf>
    <xf numFmtId="164" fontId="6" fillId="5" borderId="5" xfId="7" applyNumberFormat="1" applyFont="1" applyFill="1" applyBorder="1" applyAlignment="1">
      <alignment vertical="center"/>
    </xf>
    <xf numFmtId="164" fontId="6" fillId="5" borderId="5" xfId="7" applyNumberFormat="1" applyFont="1" applyFill="1" applyBorder="1" applyAlignment="1">
      <alignment horizontal="center" vertical="center"/>
    </xf>
    <xf numFmtId="164" fontId="7" fillId="0" borderId="0" xfId="7" applyNumberFormat="1" applyFont="1"/>
    <xf numFmtId="164" fontId="6" fillId="0" borderId="5" xfId="7" applyNumberFormat="1" applyFont="1" applyBorder="1"/>
    <xf numFmtId="164" fontId="5" fillId="5" borderId="5" xfId="7" applyNumberFormat="1" applyFont="1" applyFill="1" applyBorder="1"/>
    <xf numFmtId="164" fontId="5" fillId="5" borderId="5" xfId="7" applyNumberFormat="1" applyFont="1" applyFill="1" applyBorder="1" applyAlignment="1">
      <alignment horizontal="center"/>
    </xf>
    <xf numFmtId="164" fontId="5" fillId="5" borderId="5" xfId="7" applyNumberFormat="1" applyFont="1" applyFill="1" applyBorder="1" applyAlignment="1">
      <alignment horizontal="center" vertical="center"/>
    </xf>
    <xf numFmtId="164" fontId="7" fillId="3" borderId="0" xfId="7" applyNumberFormat="1" applyFont="1" applyFill="1" applyAlignment="1">
      <alignment vertical="center"/>
    </xf>
    <xf numFmtId="0" fontId="5" fillId="4" borderId="5" xfId="7" applyNumberFormat="1" applyFont="1" applyFill="1" applyBorder="1" applyAlignment="1">
      <alignment vertical="center" wrapText="1"/>
    </xf>
    <xf numFmtId="0" fontId="5" fillId="4" borderId="5" xfId="7" applyNumberFormat="1" applyFont="1" applyFill="1" applyBorder="1" applyAlignment="1">
      <alignment vertical="center"/>
    </xf>
    <xf numFmtId="0" fontId="6" fillId="5" borderId="5" xfId="7" applyNumberFormat="1" applyFont="1" applyFill="1" applyBorder="1" applyAlignment="1">
      <alignment vertical="center" wrapText="1"/>
    </xf>
    <xf numFmtId="0" fontId="6" fillId="0" borderId="5" xfId="7" applyNumberFormat="1" applyFont="1" applyBorder="1" applyAlignment="1">
      <alignment vertical="center" wrapText="1"/>
    </xf>
    <xf numFmtId="0" fontId="6" fillId="0" borderId="5" xfId="7" applyNumberFormat="1" applyFont="1" applyBorder="1" applyAlignment="1">
      <alignment horizontal="left" vertical="center" wrapText="1"/>
    </xf>
    <xf numFmtId="165" fontId="6" fillId="0" borderId="5" xfId="7" applyNumberFormat="1" applyFont="1" applyBorder="1" applyAlignment="1">
      <alignment horizontal="center" vertical="center"/>
    </xf>
    <xf numFmtId="164" fontId="5" fillId="4" borderId="5" xfId="7" applyNumberFormat="1" applyFont="1" applyFill="1" applyBorder="1" applyAlignment="1">
      <alignment horizontal="left" vertical="center"/>
    </xf>
    <xf numFmtId="0" fontId="6" fillId="5" borderId="5" xfId="7" applyNumberFormat="1" applyFont="1" applyFill="1" applyBorder="1" applyAlignment="1">
      <alignment horizontal="left" vertical="center" wrapText="1"/>
    </xf>
    <xf numFmtId="0" fontId="3" fillId="0" borderId="5" xfId="7" applyNumberFormat="1" applyFont="1" applyBorder="1" applyAlignment="1">
      <alignment vertical="center"/>
    </xf>
    <xf numFmtId="0" fontId="3" fillId="0" borderId="5" xfId="7" applyNumberFormat="1" applyFont="1" applyBorder="1" applyAlignment="1">
      <alignment vertical="center" wrapText="1"/>
    </xf>
    <xf numFmtId="0" fontId="7" fillId="3" borderId="5" xfId="7" applyNumberFormat="1" applyFont="1" applyFill="1" applyBorder="1" applyAlignment="1">
      <alignment vertical="center"/>
    </xf>
    <xf numFmtId="164" fontId="5" fillId="4" borderId="5" xfId="7" applyNumberFormat="1" applyFont="1" applyFill="1" applyBorder="1" applyAlignment="1">
      <alignment horizontal="right" vertical="center"/>
    </xf>
    <xf numFmtId="164" fontId="6" fillId="0" borderId="5" xfId="7" applyNumberFormat="1" applyFont="1" applyBorder="1" applyAlignment="1">
      <alignment horizontal="right" vertical="center"/>
    </xf>
    <xf numFmtId="0" fontId="10" fillId="0" borderId="5" xfId="7" applyNumberFormat="1" applyFont="1" applyBorder="1" applyAlignment="1">
      <alignment vertical="center" wrapText="1"/>
    </xf>
    <xf numFmtId="0" fontId="3" fillId="0" borderId="0" xfId="7" applyNumberFormat="1" applyFont="1" applyAlignment="1">
      <alignment horizontal="right" vertical="center"/>
    </xf>
    <xf numFmtId="0" fontId="3" fillId="0" borderId="0" xfId="7" applyNumberFormat="1" applyFont="1" applyAlignment="1">
      <alignment vertical="center"/>
    </xf>
    <xf numFmtId="1" fontId="6" fillId="0" borderId="0" xfId="7" applyNumberFormat="1" applyFont="1" applyAlignment="1">
      <alignment horizontal="center" vertical="center"/>
    </xf>
    <xf numFmtId="1" fontId="5" fillId="4" borderId="5" xfId="7" applyNumberFormat="1" applyFont="1" applyFill="1" applyBorder="1" applyAlignment="1">
      <alignment horizontal="center" vertical="center"/>
    </xf>
    <xf numFmtId="1" fontId="3" fillId="0" borderId="0" xfId="7" applyNumberFormat="1" applyFont="1" applyAlignment="1">
      <alignment horizontal="center" vertical="center"/>
    </xf>
    <xf numFmtId="164" fontId="6" fillId="0" borderId="0" xfId="7" applyNumberFormat="1" applyFont="1" applyAlignment="1">
      <alignment horizontal="center" vertical="center" wrapText="1"/>
    </xf>
    <xf numFmtId="164" fontId="6" fillId="0" borderId="5" xfId="7" applyNumberFormat="1" applyFont="1" applyBorder="1" applyAlignment="1">
      <alignment horizontal="center" vertical="center"/>
    </xf>
    <xf numFmtId="0" fontId="3" fillId="0" borderId="5" xfId="7" applyNumberFormat="1" applyFont="1" applyBorder="1" applyAlignment="1">
      <alignment horizontal="center" vertical="center"/>
    </xf>
    <xf numFmtId="0" fontId="3" fillId="0" borderId="5" xfId="7" applyNumberFormat="1" applyFont="1" applyBorder="1" applyAlignment="1">
      <alignment vertical="center"/>
    </xf>
    <xf numFmtId="164" fontId="5" fillId="0" borderId="5" xfId="7" applyNumberFormat="1" applyFont="1" applyBorder="1" applyAlignment="1">
      <alignment horizontal="center" vertical="center"/>
    </xf>
    <xf numFmtId="164" fontId="6" fillId="0" borderId="0" xfId="7" applyNumberFormat="1" applyFont="1" applyAlignment="1">
      <alignment horizontal="center" vertical="center" wrapText="1"/>
    </xf>
    <xf numFmtId="1" fontId="6" fillId="0" borderId="5" xfId="7" applyNumberFormat="1" applyFont="1" applyBorder="1" applyAlignment="1">
      <alignment horizontal="center" vertical="center"/>
    </xf>
    <xf numFmtId="164" fontId="6" fillId="0" borderId="5" xfId="7" applyNumberFormat="1" applyFont="1" applyBorder="1" applyAlignment="1">
      <alignment vertical="center" wrapText="1"/>
    </xf>
    <xf numFmtId="164" fontId="6" fillId="0" borderId="5" xfId="7" applyNumberFormat="1" applyFont="1" applyBorder="1" applyAlignment="1">
      <alignment horizontal="center" vertical="center" wrapText="1"/>
    </xf>
    <xf numFmtId="0" fontId="0" fillId="0" borderId="0" xfId="0" applyAlignment="1">
      <alignment horizontal="center"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9" fillId="0" borderId="2" xfId="0" applyFont="1" applyBorder="1" applyAlignment="1">
      <alignment horizontal="center" vertical="center"/>
    </xf>
    <xf numFmtId="0" fontId="9" fillId="0" borderId="3" xfId="0" applyFont="1" applyBorder="1" applyAlignment="1">
      <alignment horizontal="center" vertical="center"/>
    </xf>
  </cellXfs>
  <cellStyles count="8">
    <cellStyle name="Comma" xfId="7" builtinId="3"/>
    <cellStyle name="Comma 19 2" xfId="3" xr:uid="{3EAE0010-010C-48EC-956F-0E3CDE5FF405}"/>
    <cellStyle name="Normal" xfId="0" builtinId="0"/>
    <cellStyle name="Normal 2 2" xfId="1" xr:uid="{297E8A8E-5130-44DF-99C6-0F5B05154442}"/>
    <cellStyle name="Normal 20 2" xfId="5" xr:uid="{CF9C9196-2890-4C27-83A2-AA91FC11DAC8}"/>
    <cellStyle name="Normal 6 2" xfId="4" xr:uid="{1D87770C-5CA2-4508-B57E-E057F39D73F1}"/>
    <cellStyle name="Normal 8 2 2" xfId="6" xr:uid="{54EE9723-AFDF-48BB-BA7E-6977F3F3C064}"/>
    <cellStyle name="Percent 10 2" xfId="2" xr:uid="{911F354E-EC29-4EB7-A051-E3887F5983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2025%20&#1086;&#1085;%20&#1096;&#1080;&#1085;&#1078;&#1080;&#1083;&#1075;&#1101;&#1101;\2025%20&#1086;&#1085;&#1099;%20&#1073;&#1080;&#1079;&#1085;&#1077;&#1089;%20&#1090;&#1257;&#1083;&#1257;&#1074;&#1083;&#1257;&#1075;&#1257;&#1257;\2025%20&#1086;&#1085;&#1099;%20&#1090;&#1086;&#1076;&#1086;&#1090;&#1075;&#1086;&#1083;\2025%20&#1086;&#1085;&#1099;%20&#1090;&#1086;&#1076;&#1086;&#1090;&#1075;&#1086;&#1083;\2025%20&#1086;&#1085;&#1099;%20&#1090;&#1086;&#1076;&#1086;&#1090;&#1075;&#1086;&#1083;%202025.08.08%20&#1089;&#1199;&#1199;&#1083;&#1080;&#1081;&#1085;%20(2025.08.08-&#1085;&#1076;%20&#1079;&#1072;&#1103;&#1072;&#1075;&#1072;&#1072;&#1089;).xlsx" TargetMode="External"/><Relationship Id="rId1" Type="http://schemas.openxmlformats.org/officeDocument/2006/relationships/externalLinkPath" Target="file:///D:\2025%20&#1086;&#1085;%20&#1096;&#1080;&#1085;&#1078;&#1080;&#1083;&#1075;&#1101;&#1101;\2025%20&#1086;&#1085;&#1099;%20&#1073;&#1080;&#1079;&#1085;&#1077;&#1089;%20&#1090;&#1257;&#1083;&#1257;&#1074;&#1083;&#1257;&#1075;&#1257;&#1257;\2025%20&#1086;&#1085;&#1099;%20&#1090;&#1086;&#1076;&#1086;&#1090;&#1075;&#1086;&#1083;\2025%20&#1086;&#1085;&#1099;%20&#1090;&#1086;&#1076;&#1086;&#1090;&#1075;&#1086;&#1083;\2025%20&#1086;&#1085;&#1099;%20&#1090;&#1086;&#1076;&#1086;&#1090;&#1075;&#1086;&#1083;%202025.08.08%20&#1089;&#1199;&#1199;&#1083;&#1080;&#1081;&#1085;%20(2025.08.08-&#1085;&#1076;%20&#1079;&#1072;&#1103;&#1072;&#1075;&#1072;&#1072;&#10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хэмнэж болох зардал "/>
      <sheetName val="Өмнөх төслөөс өөрчлөлт"/>
      <sheetName val="Үйлд.үз.шинж "/>
      <sheetName val="Орлого.шинж.тайлбар"/>
      <sheetName val="Зардал.шинж.тайлбар "/>
      <sheetName val="борлуулалт"/>
      <sheetName val="Ашиг.шинж1 "/>
      <sheetName val="Ашиг.шинж2 "/>
      <sheetName val="Өртөг шинж "/>
      <sheetName val="тээвэр"/>
      <sheetName val="Цех-материал"/>
      <sheetName val="Тодотгол санал (Баярбат дарга)"/>
      <sheetName val="Зорилтот түвшин"/>
      <sheetName val="Тодотгол тайлбартай"/>
      <sheetName val="Хөрөнгө оруулалт"/>
      <sheetName val="НЗ"/>
      <sheetName val="Маягт-1"/>
      <sheetName val="Маягт-2"/>
      <sheetName val="Тодотгол санал"/>
      <sheetName val="үйлд.төлөв."/>
      <sheetName val="Төсв.төлб"/>
      <sheetName val="маягт-2+"/>
      <sheetName val="Төсөв"/>
      <sheetName val="үнд.үз."/>
      <sheetName val="орлого, зардал"/>
      <sheetName val="цэвэр ашиг"/>
      <sheetName val="татварын тооцоо"/>
      <sheetName val="CF нэгтгэл"/>
      <sheetName val="Sheet5"/>
      <sheetName val="БМЗ"/>
      <sheetName val="Борл.Орлого"/>
      <sheetName val="БМЗ-НЦ"/>
      <sheetName val="Үйлд.З"/>
      <sheetName val="ҮАЗ"/>
      <sheetName val="үнэ"/>
      <sheetName val="Борл.ТЗ"/>
      <sheetName val="Түлш"/>
      <sheetName val="АМНАТ (2025)"/>
      <sheetName val="ЦЭХ"/>
      <sheetName val="БО 1"/>
      <sheetName val="БО 2"/>
      <sheetName val="Нийгэм"/>
      <sheetName val="НХХ"/>
      <sheetName val="ҮАбус R,C"/>
      <sheetName val="R+"/>
      <sheetName val="Борл.Тээв.зардал (8550)"/>
      <sheetName val="Борл.Тээв.зардал (8915.60)"/>
      <sheetName val="Sheet1"/>
      <sheetName val="kalk"/>
      <sheetName val="Аудит.зардал"/>
      <sheetName val="Уд.З"/>
      <sheetName val="Цех.смет"/>
      <sheetName val="kalk."/>
      <sheetName val="БҮ-каль."/>
      <sheetName val="нэгжийн өртөг"/>
      <sheetName val="Ер+ҮАЗ"/>
      <sheetName val="Мат."/>
      <sheetName val="Материал"/>
      <sheetName val="удельн.норма"/>
      <sheetName val="НМ.2022 төсөл 2021 төл. (2930)"/>
      <sheetName val="Ү.шинж.2021-2020"/>
      <sheetName val="А.шинж.2021-2020"/>
      <sheetName val="Ө.шинж.2023-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19AB-40B3-418E-BAA3-C574A1B6F829}">
  <dimension ref="A4:C16"/>
  <sheetViews>
    <sheetView workbookViewId="0">
      <selection activeCell="C15" sqref="C15"/>
    </sheetView>
  </sheetViews>
  <sheetFormatPr defaultRowHeight="14.25" x14ac:dyDescent="0.45"/>
  <cols>
    <col min="1" max="1" width="6.3984375" style="2" customWidth="1"/>
    <col min="2" max="2" width="38.73046875" customWidth="1"/>
    <col min="3" max="3" width="25.86328125" customWidth="1"/>
  </cols>
  <sheetData>
    <row r="4" spans="1:3" ht="10.5" customHeight="1" x14ac:dyDescent="0.45">
      <c r="A4" s="78" t="s">
        <v>0</v>
      </c>
      <c r="B4" s="78"/>
      <c r="C4" s="78"/>
    </row>
    <row r="5" spans="1:3" ht="10.5" customHeight="1" x14ac:dyDescent="0.45">
      <c r="A5" s="78" t="s">
        <v>1</v>
      </c>
      <c r="B5" s="78"/>
      <c r="C5" s="78"/>
    </row>
    <row r="7" spans="1:3" ht="18" customHeight="1" x14ac:dyDescent="0.45">
      <c r="A7" s="3"/>
      <c r="B7" s="18" t="s">
        <v>2</v>
      </c>
      <c r="C7" s="17" t="s">
        <v>3</v>
      </c>
    </row>
    <row r="8" spans="1:3" ht="13.9" customHeight="1" x14ac:dyDescent="0.45">
      <c r="A8" s="1">
        <v>1</v>
      </c>
      <c r="B8" s="23" t="s">
        <v>4</v>
      </c>
      <c r="C8" s="19" t="s">
        <v>5</v>
      </c>
    </row>
    <row r="9" spans="1:3" x14ac:dyDescent="0.45">
      <c r="A9" s="1">
        <v>2</v>
      </c>
      <c r="B9" s="24" t="s">
        <v>6</v>
      </c>
      <c r="C9" s="4" t="s">
        <v>7</v>
      </c>
    </row>
    <row r="10" spans="1:3" x14ac:dyDescent="0.45">
      <c r="A10" s="1">
        <v>3</v>
      </c>
      <c r="B10" s="23" t="s">
        <v>8</v>
      </c>
      <c r="C10" s="4" t="s">
        <v>9</v>
      </c>
    </row>
    <row r="11" spans="1:3" x14ac:dyDescent="0.45">
      <c r="A11" s="1">
        <v>4</v>
      </c>
      <c r="B11" s="23" t="s">
        <v>10</v>
      </c>
      <c r="C11" s="4" t="s">
        <v>11</v>
      </c>
    </row>
    <row r="12" spans="1:3" x14ac:dyDescent="0.45">
      <c r="A12" s="1">
        <v>5</v>
      </c>
      <c r="B12" s="23" t="s">
        <v>12</v>
      </c>
      <c r="C12" s="4" t="s">
        <v>13</v>
      </c>
    </row>
    <row r="13" spans="1:3" x14ac:dyDescent="0.45">
      <c r="A13" s="1">
        <v>6</v>
      </c>
      <c r="B13" s="23" t="s">
        <v>14</v>
      </c>
      <c r="C13" s="4" t="s">
        <v>5</v>
      </c>
    </row>
    <row r="14" spans="1:3" x14ac:dyDescent="0.45">
      <c r="A14" s="1">
        <v>7</v>
      </c>
      <c r="B14" s="23" t="s">
        <v>15</v>
      </c>
      <c r="C14" s="4" t="s">
        <v>13</v>
      </c>
    </row>
    <row r="15" spans="1:3" x14ac:dyDescent="0.45">
      <c r="A15" s="1">
        <v>8</v>
      </c>
      <c r="B15" s="23" t="s">
        <v>16</v>
      </c>
      <c r="C15" s="4" t="s">
        <v>17</v>
      </c>
    </row>
    <row r="16" spans="1:3" x14ac:dyDescent="0.45">
      <c r="A16" s="1">
        <v>9</v>
      </c>
      <c r="B16" s="23" t="s">
        <v>18</v>
      </c>
      <c r="C16" s="4" t="s">
        <v>19</v>
      </c>
    </row>
  </sheetData>
  <mergeCells count="2">
    <mergeCell ref="A4:C4"/>
    <mergeCell ref="A5:C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62400-DFB9-43A7-A713-36FBC2A8BE21}">
  <dimension ref="A3:C11"/>
  <sheetViews>
    <sheetView workbookViewId="0">
      <selection activeCell="C7" sqref="C7"/>
    </sheetView>
  </sheetViews>
  <sheetFormatPr defaultColWidth="9" defaultRowHeight="13.5" x14ac:dyDescent="0.35"/>
  <cols>
    <col min="1" max="1" width="5.86328125" style="8" customWidth="1"/>
    <col min="2" max="2" width="49.59765625" style="14" customWidth="1"/>
    <col min="3" max="3" width="23.86328125" style="14" customWidth="1"/>
    <col min="4" max="16384" width="9" style="14"/>
  </cols>
  <sheetData>
    <row r="3" spans="1:3" x14ac:dyDescent="0.35">
      <c r="A3" s="79" t="s">
        <v>20</v>
      </c>
      <c r="B3" s="79"/>
      <c r="C3" s="79"/>
    </row>
    <row r="5" spans="1:3" ht="16.350000000000001" customHeight="1" x14ac:dyDescent="0.35">
      <c r="A5" s="7">
        <v>1</v>
      </c>
      <c r="B5" s="25" t="s">
        <v>21</v>
      </c>
      <c r="C5" s="15" t="s">
        <v>22</v>
      </c>
    </row>
    <row r="6" spans="1:3" ht="15" customHeight="1" x14ac:dyDescent="0.35">
      <c r="A6" s="7">
        <v>2</v>
      </c>
      <c r="B6" s="25" t="s">
        <v>23</v>
      </c>
      <c r="C6" s="15" t="s">
        <v>24</v>
      </c>
    </row>
    <row r="7" spans="1:3" ht="16.350000000000001" customHeight="1" x14ac:dyDescent="0.35">
      <c r="A7" s="7">
        <v>3</v>
      </c>
      <c r="B7" s="25" t="s">
        <v>25</v>
      </c>
      <c r="C7" s="15" t="s">
        <v>26</v>
      </c>
    </row>
    <row r="8" spans="1:3" ht="16.350000000000001" customHeight="1" x14ac:dyDescent="0.35">
      <c r="A8" s="7">
        <v>4</v>
      </c>
      <c r="B8" s="25" t="s">
        <v>27</v>
      </c>
      <c r="C8" s="15" t="s">
        <v>11</v>
      </c>
    </row>
    <row r="9" spans="1:3" ht="16.350000000000001" customHeight="1" x14ac:dyDescent="0.35">
      <c r="A9" s="7">
        <v>5</v>
      </c>
      <c r="B9" s="25" t="s">
        <v>28</v>
      </c>
      <c r="C9" s="15" t="s">
        <v>29</v>
      </c>
    </row>
    <row r="10" spans="1:3" ht="16.350000000000001" customHeight="1" x14ac:dyDescent="0.35">
      <c r="A10" s="7">
        <v>6</v>
      </c>
      <c r="B10" s="25" t="s">
        <v>30</v>
      </c>
      <c r="C10" s="15" t="s">
        <v>29</v>
      </c>
    </row>
    <row r="11" spans="1:3" ht="22.9" customHeight="1" x14ac:dyDescent="0.35">
      <c r="A11" s="7">
        <v>7</v>
      </c>
      <c r="B11" s="25" t="s">
        <v>31</v>
      </c>
      <c r="C11" s="15" t="s">
        <v>11</v>
      </c>
    </row>
  </sheetData>
  <mergeCells count="1">
    <mergeCell ref="A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BD94-5CA6-4C02-9AFD-51A6F07F2E34}">
  <sheetPr>
    <pageSetUpPr fitToPage="1"/>
  </sheetPr>
  <dimension ref="A1:S54"/>
  <sheetViews>
    <sheetView tabSelected="1" view="pageBreakPreview" topLeftCell="A47" zoomScale="85" zoomScaleNormal="100" zoomScaleSheetLayoutView="85" workbookViewId="0">
      <selection activeCell="B9" sqref="B9"/>
    </sheetView>
  </sheetViews>
  <sheetFormatPr defaultColWidth="9" defaultRowHeight="12.75" x14ac:dyDescent="0.35"/>
  <cols>
    <col min="1" max="1" width="4.1328125" style="68" customWidth="1"/>
    <col min="2" max="2" width="35.73046875" style="21" customWidth="1"/>
    <col min="3" max="3" width="9.3984375" style="20" customWidth="1"/>
    <col min="4" max="4" width="13.86328125" style="21" customWidth="1"/>
    <col min="5" max="5" width="9" style="21"/>
    <col min="6" max="6" width="8.86328125" style="21" customWidth="1"/>
    <col min="7" max="7" width="9.3984375" style="21" hidden="1" customWidth="1"/>
    <col min="8" max="8" width="10.1328125" style="21" hidden="1" customWidth="1"/>
    <col min="9" max="10" width="9.1328125" style="21" customWidth="1"/>
    <col min="11" max="11" width="9.1328125" style="20" customWidth="1"/>
    <col min="12" max="12" width="11.3984375" style="21" customWidth="1"/>
    <col min="13" max="13" width="9" style="21"/>
    <col min="14" max="14" width="10" style="21" customWidth="1"/>
    <col min="15" max="15" width="9" style="22"/>
    <col min="16" max="16" width="11.86328125" style="22" customWidth="1"/>
    <col min="17" max="17" width="9.59765625" style="21" customWidth="1"/>
    <col min="18" max="18" width="12.1328125" style="21" customWidth="1"/>
    <col min="19" max="19" width="49.73046875" style="65" customWidth="1"/>
    <col min="20" max="16384" width="9" style="21"/>
  </cols>
  <sheetData>
    <row r="1" spans="1:19" x14ac:dyDescent="0.35">
      <c r="A1" s="66"/>
      <c r="B1" s="31"/>
      <c r="C1" s="31"/>
      <c r="D1" s="31"/>
      <c r="E1" s="32"/>
      <c r="F1" s="32"/>
      <c r="G1" s="32"/>
      <c r="H1" s="32"/>
      <c r="I1" s="32"/>
      <c r="J1" s="32"/>
      <c r="K1" s="32"/>
      <c r="L1" s="32"/>
      <c r="M1" s="32"/>
      <c r="N1" s="32"/>
      <c r="O1" s="30"/>
      <c r="P1" s="30"/>
      <c r="Q1" s="31"/>
      <c r="R1" s="31"/>
      <c r="S1" s="64" t="s">
        <v>122</v>
      </c>
    </row>
    <row r="2" spans="1:19" x14ac:dyDescent="0.35">
      <c r="A2" s="66"/>
      <c r="B2" s="31"/>
      <c r="C2" s="31"/>
      <c r="D2" s="31"/>
      <c r="E2" s="32"/>
      <c r="F2" s="32"/>
      <c r="G2" s="32"/>
      <c r="H2" s="32"/>
      <c r="I2" s="32"/>
      <c r="J2" s="32"/>
      <c r="K2" s="32"/>
      <c r="L2" s="32"/>
      <c r="M2" s="32"/>
      <c r="N2" s="32"/>
      <c r="O2" s="30"/>
      <c r="P2" s="30"/>
      <c r="Q2" s="31"/>
      <c r="R2" s="31"/>
      <c r="S2" s="64"/>
    </row>
    <row r="3" spans="1:19" x14ac:dyDescent="0.35">
      <c r="A3" s="74" t="s">
        <v>33</v>
      </c>
      <c r="B3" s="74"/>
      <c r="C3" s="74"/>
      <c r="D3" s="74"/>
      <c r="E3" s="74"/>
      <c r="F3" s="74"/>
      <c r="G3" s="74"/>
      <c r="H3" s="74"/>
      <c r="I3" s="74"/>
      <c r="J3" s="74"/>
      <c r="K3" s="74"/>
      <c r="L3" s="74"/>
      <c r="M3" s="74"/>
      <c r="N3" s="74"/>
      <c r="O3" s="74"/>
      <c r="P3" s="74"/>
      <c r="Q3" s="74"/>
      <c r="R3" s="74"/>
      <c r="S3" s="74"/>
    </row>
    <row r="4" spans="1:19" x14ac:dyDescent="0.35">
      <c r="A4" s="69"/>
      <c r="B4" s="69"/>
      <c r="C4" s="69"/>
      <c r="D4" s="69"/>
      <c r="E4" s="69"/>
      <c r="F4" s="69"/>
      <c r="G4" s="69"/>
      <c r="H4" s="69"/>
      <c r="I4" s="69"/>
      <c r="J4" s="69"/>
      <c r="K4" s="69"/>
      <c r="L4" s="69"/>
      <c r="M4" s="69"/>
      <c r="N4" s="69"/>
      <c r="O4" s="69"/>
      <c r="P4" s="69"/>
      <c r="Q4" s="69"/>
      <c r="R4" s="69"/>
      <c r="S4" s="69"/>
    </row>
    <row r="5" spans="1:19" x14ac:dyDescent="0.35">
      <c r="A5" s="66"/>
      <c r="B5" s="31"/>
      <c r="C5" s="31"/>
      <c r="D5" s="31"/>
      <c r="E5" s="32"/>
      <c r="F5" s="32"/>
      <c r="G5" s="32"/>
      <c r="H5" s="32"/>
      <c r="I5" s="32"/>
      <c r="J5" s="32"/>
      <c r="K5" s="32"/>
      <c r="L5" s="32"/>
      <c r="M5" s="32"/>
      <c r="N5" s="32"/>
      <c r="O5" s="30"/>
      <c r="P5" s="30"/>
      <c r="Q5" s="31"/>
      <c r="R5" s="33" t="s">
        <v>34</v>
      </c>
    </row>
    <row r="6" spans="1:19" x14ac:dyDescent="0.35">
      <c r="A6" s="75" t="s">
        <v>35</v>
      </c>
      <c r="B6" s="70" t="s">
        <v>36</v>
      </c>
      <c r="C6" s="76" t="s">
        <v>37</v>
      </c>
      <c r="D6" s="76"/>
      <c r="E6" s="77" t="s">
        <v>38</v>
      </c>
      <c r="F6" s="77"/>
      <c r="G6" s="77" t="s">
        <v>39</v>
      </c>
      <c r="H6" s="77"/>
      <c r="I6" s="77" t="s">
        <v>40</v>
      </c>
      <c r="J6" s="77"/>
      <c r="K6" s="77" t="s">
        <v>41</v>
      </c>
      <c r="L6" s="77"/>
      <c r="M6" s="77" t="s">
        <v>42</v>
      </c>
      <c r="N6" s="77"/>
      <c r="O6" s="77" t="s">
        <v>43</v>
      </c>
      <c r="P6" s="77"/>
      <c r="Q6" s="70" t="s">
        <v>44</v>
      </c>
      <c r="R6" s="70"/>
      <c r="S6" s="71" t="s">
        <v>45</v>
      </c>
    </row>
    <row r="7" spans="1:19" ht="38.25" x14ac:dyDescent="0.35">
      <c r="A7" s="75"/>
      <c r="B7" s="70"/>
      <c r="C7" s="34" t="s">
        <v>46</v>
      </c>
      <c r="D7" s="34" t="s">
        <v>47</v>
      </c>
      <c r="E7" s="35" t="s">
        <v>46</v>
      </c>
      <c r="F7" s="35" t="s">
        <v>47</v>
      </c>
      <c r="G7" s="35" t="s">
        <v>46</v>
      </c>
      <c r="H7" s="35" t="s">
        <v>47</v>
      </c>
      <c r="I7" s="35" t="s">
        <v>46</v>
      </c>
      <c r="J7" s="35" t="s">
        <v>47</v>
      </c>
      <c r="K7" s="35" t="s">
        <v>46</v>
      </c>
      <c r="L7" s="35" t="s">
        <v>47</v>
      </c>
      <c r="M7" s="35" t="s">
        <v>46</v>
      </c>
      <c r="N7" s="35" t="s">
        <v>47</v>
      </c>
      <c r="O7" s="35" t="s">
        <v>46</v>
      </c>
      <c r="P7" s="35" t="s">
        <v>47</v>
      </c>
      <c r="Q7" s="35" t="s">
        <v>46</v>
      </c>
      <c r="R7" s="35" t="s">
        <v>47</v>
      </c>
      <c r="S7" s="71"/>
    </row>
    <row r="8" spans="1:19" s="29" customFormat="1" ht="13.15" x14ac:dyDescent="0.4">
      <c r="A8" s="67">
        <v>1</v>
      </c>
      <c r="B8" s="56" t="s">
        <v>4</v>
      </c>
      <c r="C8" s="28">
        <f>+C9+C10</f>
        <v>1</v>
      </c>
      <c r="D8" s="28">
        <f t="shared" ref="D8:R8" si="0">+D9+D10</f>
        <v>176584</v>
      </c>
      <c r="E8" s="28">
        <f t="shared" si="0"/>
        <v>0</v>
      </c>
      <c r="F8" s="28">
        <f t="shared" si="0"/>
        <v>0</v>
      </c>
      <c r="G8" s="28">
        <f t="shared" si="0"/>
        <v>0</v>
      </c>
      <c r="H8" s="28">
        <f t="shared" si="0"/>
        <v>0</v>
      </c>
      <c r="I8" s="28">
        <f t="shared" si="0"/>
        <v>0</v>
      </c>
      <c r="J8" s="28">
        <f t="shared" si="0"/>
        <v>0</v>
      </c>
      <c r="K8" s="28">
        <f t="shared" si="0"/>
        <v>0</v>
      </c>
      <c r="L8" s="28">
        <f t="shared" si="0"/>
        <v>0</v>
      </c>
      <c r="M8" s="28">
        <f t="shared" si="0"/>
        <v>0</v>
      </c>
      <c r="N8" s="28">
        <f t="shared" si="0"/>
        <v>0</v>
      </c>
      <c r="O8" s="28">
        <f t="shared" si="0"/>
        <v>1</v>
      </c>
      <c r="P8" s="28">
        <f t="shared" si="0"/>
        <v>0</v>
      </c>
      <c r="Q8" s="28">
        <f t="shared" si="0"/>
        <v>2</v>
      </c>
      <c r="R8" s="28">
        <f t="shared" si="0"/>
        <v>176584</v>
      </c>
      <c r="S8" s="60"/>
    </row>
    <row r="9" spans="1:19" ht="140.25" x14ac:dyDescent="0.35">
      <c r="A9" s="55">
        <v>1.1000000000000001</v>
      </c>
      <c r="B9" s="57" t="s">
        <v>48</v>
      </c>
      <c r="C9" s="36">
        <v>1</v>
      </c>
      <c r="D9" s="36">
        <v>176584</v>
      </c>
      <c r="E9" s="37"/>
      <c r="F9" s="37"/>
      <c r="G9" s="37"/>
      <c r="H9" s="37"/>
      <c r="I9" s="37"/>
      <c r="J9" s="37"/>
      <c r="K9" s="38"/>
      <c r="L9" s="38"/>
      <c r="M9" s="37"/>
      <c r="N9" s="37"/>
      <c r="O9" s="38"/>
      <c r="P9" s="38"/>
      <c r="Q9" s="38">
        <v>1</v>
      </c>
      <c r="R9" s="38">
        <v>176584</v>
      </c>
      <c r="S9" s="52" t="s">
        <v>49</v>
      </c>
    </row>
    <row r="10" spans="1:19" ht="331.5" x14ac:dyDescent="0.35">
      <c r="A10" s="55">
        <v>1.4</v>
      </c>
      <c r="B10" s="57" t="s">
        <v>50</v>
      </c>
      <c r="C10" s="45"/>
      <c r="D10" s="45"/>
      <c r="E10" s="37"/>
      <c r="F10" s="37"/>
      <c r="G10" s="37"/>
      <c r="H10" s="37"/>
      <c r="I10" s="37"/>
      <c r="J10" s="37"/>
      <c r="K10" s="37"/>
      <c r="L10" s="37"/>
      <c r="M10" s="37"/>
      <c r="N10" s="37"/>
      <c r="O10" s="38">
        <v>1</v>
      </c>
      <c r="P10" s="38"/>
      <c r="Q10" s="38">
        <v>1</v>
      </c>
      <c r="R10" s="38">
        <v>0</v>
      </c>
      <c r="S10" s="59" t="s">
        <v>51</v>
      </c>
    </row>
    <row r="11" spans="1:19" s="29" customFormat="1" ht="26.25" x14ac:dyDescent="0.4">
      <c r="A11" s="67">
        <v>2</v>
      </c>
      <c r="B11" s="50" t="s">
        <v>52</v>
      </c>
      <c r="C11" s="40">
        <f>+C12+C13</f>
        <v>0</v>
      </c>
      <c r="D11" s="40">
        <f t="shared" ref="D11:R11" si="1">+D12+D13</f>
        <v>0</v>
      </c>
      <c r="E11" s="40">
        <f t="shared" si="1"/>
        <v>0</v>
      </c>
      <c r="F11" s="40">
        <f t="shared" si="1"/>
        <v>0</v>
      </c>
      <c r="G11" s="40">
        <f t="shared" si="1"/>
        <v>0</v>
      </c>
      <c r="H11" s="40">
        <f t="shared" si="1"/>
        <v>0</v>
      </c>
      <c r="I11" s="40">
        <f t="shared" si="1"/>
        <v>0</v>
      </c>
      <c r="J11" s="40">
        <f t="shared" si="1"/>
        <v>0</v>
      </c>
      <c r="K11" s="40">
        <f t="shared" si="1"/>
        <v>1</v>
      </c>
      <c r="L11" s="40">
        <f t="shared" si="1"/>
        <v>7418.4</v>
      </c>
      <c r="M11" s="40">
        <f t="shared" si="1"/>
        <v>0</v>
      </c>
      <c r="N11" s="40">
        <f t="shared" si="1"/>
        <v>0</v>
      </c>
      <c r="O11" s="40">
        <f t="shared" si="1"/>
        <v>2</v>
      </c>
      <c r="P11" s="40">
        <f t="shared" si="1"/>
        <v>41896.400000000001</v>
      </c>
      <c r="Q11" s="40">
        <f t="shared" si="1"/>
        <v>3</v>
      </c>
      <c r="R11" s="40">
        <f t="shared" si="1"/>
        <v>49314.8</v>
      </c>
      <c r="S11" s="60"/>
    </row>
    <row r="12" spans="1:19" ht="306" x14ac:dyDescent="0.35">
      <c r="A12" s="55">
        <v>2.1</v>
      </c>
      <c r="B12" s="52" t="s">
        <v>53</v>
      </c>
      <c r="C12" s="39"/>
      <c r="D12" s="39"/>
      <c r="E12" s="37"/>
      <c r="F12" s="37"/>
      <c r="G12" s="37"/>
      <c r="H12" s="37"/>
      <c r="I12" s="37"/>
      <c r="J12" s="37"/>
      <c r="K12" s="41">
        <v>1</v>
      </c>
      <c r="L12" s="41">
        <v>7418.4</v>
      </c>
      <c r="M12" s="37"/>
      <c r="N12" s="37"/>
      <c r="O12" s="38"/>
      <c r="P12" s="38"/>
      <c r="Q12" s="38">
        <v>1</v>
      </c>
      <c r="R12" s="38">
        <v>7418.4</v>
      </c>
      <c r="S12" s="53" t="s">
        <v>54</v>
      </c>
    </row>
    <row r="13" spans="1:19" ht="178.5" x14ac:dyDescent="0.35">
      <c r="A13" s="55">
        <v>2.2000000000000002</v>
      </c>
      <c r="B13" s="52" t="s">
        <v>55</v>
      </c>
      <c r="C13" s="39"/>
      <c r="D13" s="39"/>
      <c r="E13" s="38"/>
      <c r="F13" s="37"/>
      <c r="G13" s="37"/>
      <c r="H13" s="37"/>
      <c r="I13" s="37"/>
      <c r="J13" s="37"/>
      <c r="K13" s="37"/>
      <c r="L13" s="37"/>
      <c r="M13" s="37"/>
      <c r="N13" s="37"/>
      <c r="O13" s="38">
        <v>2</v>
      </c>
      <c r="P13" s="38">
        <v>41896.400000000001</v>
      </c>
      <c r="Q13" s="38">
        <v>2</v>
      </c>
      <c r="R13" s="38">
        <v>41896.400000000001</v>
      </c>
      <c r="S13" s="53" t="s">
        <v>56</v>
      </c>
    </row>
    <row r="14" spans="1:19" s="29" customFormat="1" ht="13.15" x14ac:dyDescent="0.4">
      <c r="A14" s="67">
        <v>3</v>
      </c>
      <c r="B14" s="51" t="s">
        <v>57</v>
      </c>
      <c r="C14" s="27">
        <f>C15+C16</f>
        <v>0</v>
      </c>
      <c r="D14" s="27">
        <f t="shared" ref="D14:R14" si="2">D15+D16</f>
        <v>0</v>
      </c>
      <c r="E14" s="27">
        <f t="shared" si="2"/>
        <v>0</v>
      </c>
      <c r="F14" s="27">
        <f t="shared" si="2"/>
        <v>0</v>
      </c>
      <c r="G14" s="27">
        <f t="shared" si="2"/>
        <v>0</v>
      </c>
      <c r="H14" s="27">
        <f t="shared" si="2"/>
        <v>0</v>
      </c>
      <c r="I14" s="27">
        <f t="shared" si="2"/>
        <v>0</v>
      </c>
      <c r="J14" s="27">
        <f t="shared" si="2"/>
        <v>0</v>
      </c>
      <c r="K14" s="27">
        <f t="shared" si="2"/>
        <v>1</v>
      </c>
      <c r="L14" s="27">
        <f t="shared" si="2"/>
        <v>1444.5</v>
      </c>
      <c r="M14" s="27">
        <f t="shared" si="2"/>
        <v>0</v>
      </c>
      <c r="N14" s="27">
        <f t="shared" si="2"/>
        <v>0</v>
      </c>
      <c r="O14" s="27">
        <f t="shared" si="2"/>
        <v>2</v>
      </c>
      <c r="P14" s="27">
        <f t="shared" si="2"/>
        <v>406222.9</v>
      </c>
      <c r="Q14" s="27">
        <f t="shared" si="2"/>
        <v>3</v>
      </c>
      <c r="R14" s="27">
        <f t="shared" si="2"/>
        <v>407667.4</v>
      </c>
      <c r="S14" s="60"/>
    </row>
    <row r="15" spans="1:19" ht="51" x14ac:dyDescent="0.35">
      <c r="A15" s="55">
        <v>3.1</v>
      </c>
      <c r="B15" s="52" t="s">
        <v>58</v>
      </c>
      <c r="C15" s="39"/>
      <c r="D15" s="39"/>
      <c r="E15" s="38"/>
      <c r="F15" s="38"/>
      <c r="G15" s="38"/>
      <c r="H15" s="38"/>
      <c r="I15" s="38"/>
      <c r="J15" s="38"/>
      <c r="K15" s="41">
        <v>1</v>
      </c>
      <c r="L15" s="41">
        <v>1444.5</v>
      </c>
      <c r="M15" s="38"/>
      <c r="N15" s="37"/>
      <c r="O15" s="38"/>
      <c r="P15" s="38"/>
      <c r="Q15" s="38">
        <v>1</v>
      </c>
      <c r="R15" s="38">
        <v>1444.5</v>
      </c>
      <c r="S15" s="72" t="s">
        <v>59</v>
      </c>
    </row>
    <row r="16" spans="1:19" ht="165.75" x14ac:dyDescent="0.35">
      <c r="A16" s="55">
        <v>3.2</v>
      </c>
      <c r="B16" s="52" t="s">
        <v>60</v>
      </c>
      <c r="C16" s="42"/>
      <c r="D16" s="42"/>
      <c r="E16" s="43"/>
      <c r="F16" s="38"/>
      <c r="G16" s="38"/>
      <c r="H16" s="38"/>
      <c r="I16" s="38"/>
      <c r="J16" s="38"/>
      <c r="K16" s="38"/>
      <c r="L16" s="38"/>
      <c r="M16" s="38"/>
      <c r="N16" s="37"/>
      <c r="O16" s="38">
        <v>2</v>
      </c>
      <c r="P16" s="38">
        <v>406222.9</v>
      </c>
      <c r="Q16" s="38">
        <v>2</v>
      </c>
      <c r="R16" s="38">
        <v>406222.9</v>
      </c>
      <c r="S16" s="72"/>
    </row>
    <row r="17" spans="1:19" ht="13.15" x14ac:dyDescent="0.35">
      <c r="A17" s="67">
        <v>4</v>
      </c>
      <c r="B17" s="51" t="s">
        <v>10</v>
      </c>
      <c r="C17" s="27">
        <f>+C18</f>
        <v>0</v>
      </c>
      <c r="D17" s="27">
        <f t="shared" ref="D17:R17" si="3">+D18</f>
        <v>0</v>
      </c>
      <c r="E17" s="27">
        <f t="shared" si="3"/>
        <v>0</v>
      </c>
      <c r="F17" s="27">
        <f t="shared" si="3"/>
        <v>0</v>
      </c>
      <c r="G17" s="27">
        <f t="shared" si="3"/>
        <v>0</v>
      </c>
      <c r="H17" s="27">
        <f t="shared" si="3"/>
        <v>0</v>
      </c>
      <c r="I17" s="27">
        <f t="shared" si="3"/>
        <v>0</v>
      </c>
      <c r="J17" s="27">
        <f t="shared" si="3"/>
        <v>0</v>
      </c>
      <c r="K17" s="27">
        <f t="shared" si="3"/>
        <v>0</v>
      </c>
      <c r="L17" s="27">
        <f t="shared" si="3"/>
        <v>0</v>
      </c>
      <c r="M17" s="27">
        <f t="shared" si="3"/>
        <v>0</v>
      </c>
      <c r="N17" s="27">
        <f t="shared" si="3"/>
        <v>0</v>
      </c>
      <c r="O17" s="27">
        <f t="shared" si="3"/>
        <v>2</v>
      </c>
      <c r="P17" s="27">
        <f t="shared" si="3"/>
        <v>94723.5</v>
      </c>
      <c r="Q17" s="27">
        <f t="shared" si="3"/>
        <v>2</v>
      </c>
      <c r="R17" s="27">
        <f t="shared" si="3"/>
        <v>94723.5</v>
      </c>
      <c r="S17" s="60"/>
    </row>
    <row r="18" spans="1:19" s="44" customFormat="1" ht="216.75" x14ac:dyDescent="0.4">
      <c r="A18" s="55">
        <v>4.0999999999999996</v>
      </c>
      <c r="B18" s="54" t="s">
        <v>61</v>
      </c>
      <c r="C18" s="39"/>
      <c r="D18" s="39"/>
      <c r="E18" s="38"/>
      <c r="F18" s="38"/>
      <c r="G18" s="38"/>
      <c r="H18" s="38"/>
      <c r="I18" s="38"/>
      <c r="J18" s="38"/>
      <c r="K18" s="38"/>
      <c r="L18" s="38"/>
      <c r="M18" s="38"/>
      <c r="N18" s="37"/>
      <c r="O18" s="38">
        <v>2</v>
      </c>
      <c r="P18" s="38">
        <v>94723.5</v>
      </c>
      <c r="Q18" s="38">
        <v>2</v>
      </c>
      <c r="R18" s="38">
        <v>94723.5</v>
      </c>
      <c r="S18" s="53" t="s">
        <v>62</v>
      </c>
    </row>
    <row r="19" spans="1:19" ht="13.15" x14ac:dyDescent="0.35">
      <c r="A19" s="67">
        <v>5</v>
      </c>
      <c r="B19" s="51" t="s">
        <v>12</v>
      </c>
      <c r="C19" s="27">
        <f>+C20+C21+C22</f>
        <v>1</v>
      </c>
      <c r="D19" s="27">
        <f t="shared" ref="D19:R19" si="4">+D20+D21+D22</f>
        <v>39887.1</v>
      </c>
      <c r="E19" s="27">
        <f t="shared" si="4"/>
        <v>0</v>
      </c>
      <c r="F19" s="27">
        <f t="shared" si="4"/>
        <v>0</v>
      </c>
      <c r="G19" s="27">
        <f t="shared" si="4"/>
        <v>0</v>
      </c>
      <c r="H19" s="27">
        <f t="shared" si="4"/>
        <v>0</v>
      </c>
      <c r="I19" s="27">
        <f t="shared" si="4"/>
        <v>0</v>
      </c>
      <c r="J19" s="27">
        <f t="shared" si="4"/>
        <v>0</v>
      </c>
      <c r="K19" s="27">
        <f t="shared" si="4"/>
        <v>1</v>
      </c>
      <c r="L19" s="27">
        <f t="shared" si="4"/>
        <v>2321.3000000000002</v>
      </c>
      <c r="M19" s="27">
        <f t="shared" si="4"/>
        <v>0</v>
      </c>
      <c r="N19" s="27">
        <f t="shared" si="4"/>
        <v>0</v>
      </c>
      <c r="O19" s="27">
        <f t="shared" si="4"/>
        <v>2</v>
      </c>
      <c r="P19" s="27">
        <f t="shared" si="4"/>
        <v>33004.6</v>
      </c>
      <c r="Q19" s="27">
        <f t="shared" si="4"/>
        <v>4</v>
      </c>
      <c r="R19" s="27">
        <f t="shared" si="4"/>
        <v>75213</v>
      </c>
      <c r="S19" s="51"/>
    </row>
    <row r="20" spans="1:19" ht="63.75" x14ac:dyDescent="0.35">
      <c r="A20" s="55">
        <v>5.0999999999999996</v>
      </c>
      <c r="B20" s="52" t="s">
        <v>63</v>
      </c>
      <c r="C20" s="39"/>
      <c r="D20" s="39"/>
      <c r="E20" s="38"/>
      <c r="F20" s="38"/>
      <c r="G20" s="38"/>
      <c r="H20" s="38"/>
      <c r="I20" s="38"/>
      <c r="J20" s="38"/>
      <c r="K20" s="38">
        <v>1</v>
      </c>
      <c r="L20" s="38">
        <v>2321.3000000000002</v>
      </c>
      <c r="M20" s="38"/>
      <c r="N20" s="37"/>
      <c r="O20" s="38"/>
      <c r="P20" s="38"/>
      <c r="Q20" s="38">
        <v>1</v>
      </c>
      <c r="R20" s="38">
        <v>2321.3000000000002</v>
      </c>
      <c r="S20" s="59" t="s">
        <v>64</v>
      </c>
    </row>
    <row r="21" spans="1:19" ht="76.5" x14ac:dyDescent="0.35">
      <c r="A21" s="55">
        <v>5.2</v>
      </c>
      <c r="B21" s="52" t="s">
        <v>65</v>
      </c>
      <c r="C21" s="39">
        <v>1</v>
      </c>
      <c r="D21" s="39">
        <v>39887.1</v>
      </c>
      <c r="E21" s="38"/>
      <c r="F21" s="38"/>
      <c r="G21" s="38"/>
      <c r="H21" s="38"/>
      <c r="I21" s="38"/>
      <c r="J21" s="38"/>
      <c r="K21" s="38"/>
      <c r="L21" s="38"/>
      <c r="M21" s="38"/>
      <c r="N21" s="37"/>
      <c r="O21" s="38"/>
      <c r="P21" s="38"/>
      <c r="Q21" s="38">
        <v>1</v>
      </c>
      <c r="R21" s="38">
        <v>39887.1</v>
      </c>
      <c r="S21" s="59" t="s">
        <v>66</v>
      </c>
    </row>
    <row r="22" spans="1:19" s="44" customFormat="1" ht="178.5" x14ac:dyDescent="0.4">
      <c r="A22" s="55">
        <v>5.3</v>
      </c>
      <c r="B22" s="53" t="s">
        <v>67</v>
      </c>
      <c r="C22" s="39"/>
      <c r="D22" s="39"/>
      <c r="E22" s="38"/>
      <c r="F22" s="38"/>
      <c r="G22" s="38"/>
      <c r="H22" s="38"/>
      <c r="I22" s="38"/>
      <c r="J22" s="38"/>
      <c r="K22" s="38"/>
      <c r="L22" s="38"/>
      <c r="M22" s="38"/>
      <c r="N22" s="37"/>
      <c r="O22" s="38">
        <v>2</v>
      </c>
      <c r="P22" s="38">
        <v>33004.6</v>
      </c>
      <c r="Q22" s="38">
        <v>2</v>
      </c>
      <c r="R22" s="38">
        <v>33004.6</v>
      </c>
      <c r="S22" s="59" t="s">
        <v>68</v>
      </c>
    </row>
    <row r="23" spans="1:19" ht="13.15" x14ac:dyDescent="0.35">
      <c r="A23" s="67">
        <v>6</v>
      </c>
      <c r="B23" s="51" t="s">
        <v>14</v>
      </c>
      <c r="C23" s="27">
        <f>+C24+C25</f>
        <v>0</v>
      </c>
      <c r="D23" s="27">
        <f t="shared" ref="D23:R23" si="5">+D24+D25</f>
        <v>0</v>
      </c>
      <c r="E23" s="27">
        <f t="shared" si="5"/>
        <v>0</v>
      </c>
      <c r="F23" s="27">
        <f t="shared" si="5"/>
        <v>0</v>
      </c>
      <c r="G23" s="27">
        <f t="shared" si="5"/>
        <v>0</v>
      </c>
      <c r="H23" s="27">
        <f t="shared" si="5"/>
        <v>0</v>
      </c>
      <c r="I23" s="27">
        <f t="shared" si="5"/>
        <v>0</v>
      </c>
      <c r="J23" s="27">
        <f t="shared" si="5"/>
        <v>0</v>
      </c>
      <c r="K23" s="27">
        <f t="shared" si="5"/>
        <v>1</v>
      </c>
      <c r="L23" s="27">
        <f t="shared" si="5"/>
        <v>402915.3</v>
      </c>
      <c r="M23" s="27">
        <f t="shared" si="5"/>
        <v>0</v>
      </c>
      <c r="N23" s="27">
        <f t="shared" si="5"/>
        <v>0</v>
      </c>
      <c r="O23" s="27">
        <f t="shared" si="5"/>
        <v>1</v>
      </c>
      <c r="P23" s="27">
        <f t="shared" si="5"/>
        <v>0</v>
      </c>
      <c r="Q23" s="27">
        <f t="shared" si="5"/>
        <v>2</v>
      </c>
      <c r="R23" s="27">
        <f t="shared" si="5"/>
        <v>402915.3</v>
      </c>
      <c r="S23" s="51"/>
    </row>
    <row r="24" spans="1:19" ht="344.25" x14ac:dyDescent="0.35">
      <c r="A24" s="55">
        <v>6.1</v>
      </c>
      <c r="B24" s="57" t="s">
        <v>69</v>
      </c>
      <c r="C24" s="39"/>
      <c r="D24" s="39"/>
      <c r="E24" s="38"/>
      <c r="F24" s="38"/>
      <c r="G24" s="38"/>
      <c r="H24" s="38"/>
      <c r="I24" s="38"/>
      <c r="J24" s="38"/>
      <c r="K24" s="38"/>
      <c r="L24" s="38"/>
      <c r="M24" s="38"/>
      <c r="N24" s="37"/>
      <c r="O24" s="38">
        <v>1</v>
      </c>
      <c r="P24" s="38"/>
      <c r="Q24" s="38">
        <v>1</v>
      </c>
      <c r="R24" s="38">
        <v>0</v>
      </c>
      <c r="S24" s="59" t="s">
        <v>70</v>
      </c>
    </row>
    <row r="25" spans="1:19" ht="153" x14ac:dyDescent="0.35">
      <c r="A25" s="55">
        <v>6.2</v>
      </c>
      <c r="B25" s="53" t="s">
        <v>71</v>
      </c>
      <c r="C25" s="39"/>
      <c r="D25" s="39"/>
      <c r="E25" s="37"/>
      <c r="F25" s="37"/>
      <c r="G25" s="37"/>
      <c r="H25" s="37"/>
      <c r="I25" s="37"/>
      <c r="J25" s="37"/>
      <c r="K25" s="41">
        <v>1</v>
      </c>
      <c r="L25" s="41">
        <v>402915.3</v>
      </c>
      <c r="M25" s="37"/>
      <c r="N25" s="37"/>
      <c r="O25" s="38"/>
      <c r="P25" s="38"/>
      <c r="Q25" s="38">
        <v>1</v>
      </c>
      <c r="R25" s="38">
        <v>402915.3</v>
      </c>
      <c r="S25" s="59" t="s">
        <v>72</v>
      </c>
    </row>
    <row r="26" spans="1:19" s="29" customFormat="1" ht="13.15" x14ac:dyDescent="0.4">
      <c r="A26" s="67">
        <v>7</v>
      </c>
      <c r="B26" s="51" t="s">
        <v>15</v>
      </c>
      <c r="C26" s="28">
        <f>+C27+C28</f>
        <v>0</v>
      </c>
      <c r="D26" s="28">
        <f t="shared" ref="D26:R26" si="6">+D27+D28</f>
        <v>0</v>
      </c>
      <c r="E26" s="28">
        <f t="shared" si="6"/>
        <v>0</v>
      </c>
      <c r="F26" s="28">
        <f t="shared" si="6"/>
        <v>0</v>
      </c>
      <c r="G26" s="28">
        <f t="shared" si="6"/>
        <v>0</v>
      </c>
      <c r="H26" s="28">
        <f t="shared" si="6"/>
        <v>0</v>
      </c>
      <c r="I26" s="28">
        <f t="shared" si="6"/>
        <v>0</v>
      </c>
      <c r="J26" s="28">
        <f t="shared" si="6"/>
        <v>0</v>
      </c>
      <c r="K26" s="28">
        <f t="shared" si="6"/>
        <v>1</v>
      </c>
      <c r="L26" s="28">
        <f t="shared" si="6"/>
        <v>209.6</v>
      </c>
      <c r="M26" s="28">
        <f t="shared" si="6"/>
        <v>0</v>
      </c>
      <c r="N26" s="28">
        <f t="shared" si="6"/>
        <v>0</v>
      </c>
      <c r="O26" s="28">
        <f t="shared" si="6"/>
        <v>1</v>
      </c>
      <c r="P26" s="28">
        <f t="shared" si="6"/>
        <v>0</v>
      </c>
      <c r="Q26" s="28">
        <f t="shared" si="6"/>
        <v>2</v>
      </c>
      <c r="R26" s="28">
        <f t="shared" si="6"/>
        <v>209.6</v>
      </c>
      <c r="S26" s="60"/>
    </row>
    <row r="27" spans="1:19" ht="51" x14ac:dyDescent="0.35">
      <c r="A27" s="55">
        <v>7.1</v>
      </c>
      <c r="B27" s="52" t="s">
        <v>73</v>
      </c>
      <c r="C27" s="39"/>
      <c r="D27" s="39"/>
      <c r="E27" s="37"/>
      <c r="F27" s="37"/>
      <c r="G27" s="37"/>
      <c r="H27" s="37"/>
      <c r="I27" s="37"/>
      <c r="J27" s="37"/>
      <c r="K27" s="41">
        <v>1</v>
      </c>
      <c r="L27" s="41">
        <v>209.6</v>
      </c>
      <c r="M27" s="37"/>
      <c r="N27" s="37"/>
      <c r="O27" s="38"/>
      <c r="P27" s="38"/>
      <c r="Q27" s="38">
        <v>1</v>
      </c>
      <c r="R27" s="38">
        <v>209.6</v>
      </c>
      <c r="S27" s="59" t="s">
        <v>74</v>
      </c>
    </row>
    <row r="28" spans="1:19" ht="242.25" x14ac:dyDescent="0.35">
      <c r="A28" s="55">
        <v>7.2</v>
      </c>
      <c r="B28" s="52" t="s">
        <v>75</v>
      </c>
      <c r="C28" s="42"/>
      <c r="D28" s="42"/>
      <c r="E28" s="43"/>
      <c r="F28" s="37"/>
      <c r="G28" s="37"/>
      <c r="H28" s="37"/>
      <c r="I28" s="37"/>
      <c r="J28" s="37"/>
      <c r="K28" s="37"/>
      <c r="L28" s="37"/>
      <c r="M28" s="37"/>
      <c r="N28" s="37"/>
      <c r="O28" s="38">
        <v>1</v>
      </c>
      <c r="P28" s="38"/>
      <c r="Q28" s="38">
        <v>1</v>
      </c>
      <c r="R28" s="38">
        <v>0</v>
      </c>
      <c r="S28" s="59" t="s">
        <v>76</v>
      </c>
    </row>
    <row r="29" spans="1:19" s="29" customFormat="1" ht="13.15" x14ac:dyDescent="0.4">
      <c r="A29" s="67">
        <v>8</v>
      </c>
      <c r="B29" s="51" t="s">
        <v>16</v>
      </c>
      <c r="C29" s="28">
        <f>+C30+C31</f>
        <v>1</v>
      </c>
      <c r="D29" s="28">
        <f t="shared" ref="D29:R29" si="7">+D30+D31</f>
        <v>5862.9</v>
      </c>
      <c r="E29" s="28">
        <f t="shared" si="7"/>
        <v>0</v>
      </c>
      <c r="F29" s="28">
        <f t="shared" si="7"/>
        <v>0</v>
      </c>
      <c r="G29" s="28">
        <f t="shared" si="7"/>
        <v>0</v>
      </c>
      <c r="H29" s="28">
        <f t="shared" si="7"/>
        <v>0</v>
      </c>
      <c r="I29" s="28">
        <f t="shared" si="7"/>
        <v>0</v>
      </c>
      <c r="J29" s="28">
        <f t="shared" si="7"/>
        <v>0</v>
      </c>
      <c r="K29" s="28">
        <f t="shared" si="7"/>
        <v>0</v>
      </c>
      <c r="L29" s="28">
        <f t="shared" si="7"/>
        <v>0</v>
      </c>
      <c r="M29" s="28">
        <f t="shared" si="7"/>
        <v>0</v>
      </c>
      <c r="N29" s="28">
        <f t="shared" si="7"/>
        <v>0</v>
      </c>
      <c r="O29" s="28">
        <f t="shared" si="7"/>
        <v>2</v>
      </c>
      <c r="P29" s="28">
        <f t="shared" si="7"/>
        <v>18632.5</v>
      </c>
      <c r="Q29" s="28">
        <f t="shared" si="7"/>
        <v>3</v>
      </c>
      <c r="R29" s="28">
        <f t="shared" si="7"/>
        <v>24495.4</v>
      </c>
      <c r="S29" s="60"/>
    </row>
    <row r="30" spans="1:19" ht="76.5" x14ac:dyDescent="0.35">
      <c r="A30" s="55">
        <v>8.1</v>
      </c>
      <c r="B30" s="52" t="s">
        <v>77</v>
      </c>
      <c r="C30" s="39">
        <v>1</v>
      </c>
      <c r="D30" s="39">
        <v>5862.9</v>
      </c>
      <c r="E30" s="37"/>
      <c r="F30" s="37"/>
      <c r="G30" s="37"/>
      <c r="H30" s="37"/>
      <c r="I30" s="37"/>
      <c r="J30" s="37"/>
      <c r="K30" s="37"/>
      <c r="L30" s="37"/>
      <c r="M30" s="37"/>
      <c r="N30" s="37"/>
      <c r="O30" s="38"/>
      <c r="P30" s="38"/>
      <c r="Q30" s="38">
        <v>1</v>
      </c>
      <c r="R30" s="38">
        <v>5862.9</v>
      </c>
      <c r="S30" s="59" t="s">
        <v>78</v>
      </c>
    </row>
    <row r="31" spans="1:19" ht="178.5" x14ac:dyDescent="0.35">
      <c r="A31" s="55">
        <v>8.1999999999999993</v>
      </c>
      <c r="B31" s="57" t="s">
        <v>79</v>
      </c>
      <c r="C31" s="45"/>
      <c r="D31" s="45"/>
      <c r="E31" s="38"/>
      <c r="F31" s="38"/>
      <c r="G31" s="38"/>
      <c r="H31" s="37"/>
      <c r="I31" s="37"/>
      <c r="J31" s="37"/>
      <c r="K31" s="37"/>
      <c r="L31" s="37"/>
      <c r="M31" s="37"/>
      <c r="N31" s="37"/>
      <c r="O31" s="38">
        <v>2</v>
      </c>
      <c r="P31" s="38">
        <v>18632.5</v>
      </c>
      <c r="Q31" s="38">
        <v>2</v>
      </c>
      <c r="R31" s="38">
        <v>18632.5</v>
      </c>
      <c r="S31" s="59" t="s">
        <v>80</v>
      </c>
    </row>
    <row r="32" spans="1:19" s="29" customFormat="1" ht="13.15" x14ac:dyDescent="0.4">
      <c r="A32" s="67">
        <v>9</v>
      </c>
      <c r="B32" s="51" t="s">
        <v>18</v>
      </c>
      <c r="C32" s="28">
        <f>+C33+C34</f>
        <v>0</v>
      </c>
      <c r="D32" s="28">
        <f>+D33+D34</f>
        <v>0</v>
      </c>
      <c r="E32" s="28">
        <f t="shared" ref="E32:R32" si="8">+E33+E34</f>
        <v>0</v>
      </c>
      <c r="F32" s="28">
        <f t="shared" si="8"/>
        <v>0</v>
      </c>
      <c r="G32" s="28">
        <f t="shared" si="8"/>
        <v>0</v>
      </c>
      <c r="H32" s="28">
        <f t="shared" si="8"/>
        <v>0</v>
      </c>
      <c r="I32" s="28">
        <f t="shared" si="8"/>
        <v>0</v>
      </c>
      <c r="J32" s="28">
        <f t="shared" si="8"/>
        <v>0</v>
      </c>
      <c r="K32" s="28">
        <f t="shared" si="8"/>
        <v>0</v>
      </c>
      <c r="L32" s="28">
        <f t="shared" si="8"/>
        <v>0</v>
      </c>
      <c r="M32" s="28">
        <f t="shared" si="8"/>
        <v>1</v>
      </c>
      <c r="N32" s="28">
        <f t="shared" si="8"/>
        <v>6267.8</v>
      </c>
      <c r="O32" s="28">
        <f t="shared" si="8"/>
        <v>2</v>
      </c>
      <c r="P32" s="28">
        <f t="shared" si="8"/>
        <v>12790.1</v>
      </c>
      <c r="Q32" s="28">
        <f t="shared" si="8"/>
        <v>3</v>
      </c>
      <c r="R32" s="28">
        <f t="shared" si="8"/>
        <v>19057.900000000001</v>
      </c>
      <c r="S32" s="60"/>
    </row>
    <row r="33" spans="1:19" ht="114.75" x14ac:dyDescent="0.4">
      <c r="A33" s="55">
        <v>9.1</v>
      </c>
      <c r="B33" s="52" t="s">
        <v>81</v>
      </c>
      <c r="C33" s="46"/>
      <c r="D33" s="46"/>
      <c r="E33" s="47"/>
      <c r="F33" s="47"/>
      <c r="G33" s="47"/>
      <c r="H33" s="47"/>
      <c r="I33" s="47"/>
      <c r="J33" s="47"/>
      <c r="K33" s="47"/>
      <c r="L33" s="47"/>
      <c r="M33" s="43">
        <v>1</v>
      </c>
      <c r="N33" s="43">
        <v>6267.8</v>
      </c>
      <c r="O33" s="48"/>
      <c r="P33" s="48"/>
      <c r="Q33" s="43">
        <v>1</v>
      </c>
      <c r="R33" s="43">
        <f>+N33</f>
        <v>6267.8</v>
      </c>
      <c r="S33" s="59" t="s">
        <v>82</v>
      </c>
    </row>
    <row r="34" spans="1:19" ht="153" x14ac:dyDescent="0.35">
      <c r="A34" s="55">
        <v>9.1999999999999993</v>
      </c>
      <c r="B34" s="52" t="s">
        <v>83</v>
      </c>
      <c r="C34" s="42"/>
      <c r="D34" s="42"/>
      <c r="E34" s="37"/>
      <c r="F34" s="37"/>
      <c r="G34" s="37"/>
      <c r="H34" s="37"/>
      <c r="I34" s="37"/>
      <c r="J34" s="37"/>
      <c r="K34" s="37"/>
      <c r="L34" s="37"/>
      <c r="M34" s="37"/>
      <c r="N34" s="37"/>
      <c r="O34" s="38">
        <v>2</v>
      </c>
      <c r="P34" s="38">
        <v>12790.1</v>
      </c>
      <c r="Q34" s="38">
        <v>2</v>
      </c>
      <c r="R34" s="38">
        <v>12790.1</v>
      </c>
      <c r="S34" s="59" t="s">
        <v>84</v>
      </c>
    </row>
    <row r="35" spans="1:19" ht="13.15" x14ac:dyDescent="0.4">
      <c r="A35" s="67">
        <v>10</v>
      </c>
      <c r="B35" s="50" t="s">
        <v>21</v>
      </c>
      <c r="C35" s="28">
        <f>+C36+C37</f>
        <v>0</v>
      </c>
      <c r="D35" s="28">
        <f>+D36+D37</f>
        <v>0</v>
      </c>
      <c r="E35" s="28">
        <f t="shared" ref="E35:R35" si="9">+E36+E37</f>
        <v>0</v>
      </c>
      <c r="F35" s="28">
        <f t="shared" si="9"/>
        <v>0</v>
      </c>
      <c r="G35" s="28">
        <f t="shared" si="9"/>
        <v>0</v>
      </c>
      <c r="H35" s="28">
        <f t="shared" si="9"/>
        <v>0</v>
      </c>
      <c r="I35" s="28">
        <f t="shared" si="9"/>
        <v>0</v>
      </c>
      <c r="J35" s="28">
        <f t="shared" si="9"/>
        <v>0</v>
      </c>
      <c r="K35" s="28">
        <f t="shared" si="9"/>
        <v>1</v>
      </c>
      <c r="L35" s="28">
        <f t="shared" si="9"/>
        <v>46.5</v>
      </c>
      <c r="M35" s="28">
        <f t="shared" si="9"/>
        <v>1</v>
      </c>
      <c r="N35" s="28">
        <f t="shared" si="9"/>
        <v>795.1</v>
      </c>
      <c r="O35" s="28">
        <f t="shared" si="9"/>
        <v>2</v>
      </c>
      <c r="P35" s="28">
        <f t="shared" si="9"/>
        <v>169.6</v>
      </c>
      <c r="Q35" s="28">
        <f t="shared" si="9"/>
        <v>4</v>
      </c>
      <c r="R35" s="28">
        <f t="shared" si="9"/>
        <v>1011.2</v>
      </c>
      <c r="S35" s="60"/>
    </row>
    <row r="36" spans="1:19" s="44" customFormat="1" ht="293.25" x14ac:dyDescent="0.4">
      <c r="A36" s="55">
        <v>10.1</v>
      </c>
      <c r="B36" s="53" t="s">
        <v>85</v>
      </c>
      <c r="C36" s="39"/>
      <c r="D36" s="39"/>
      <c r="E36" s="37"/>
      <c r="F36" s="37"/>
      <c r="G36" s="37"/>
      <c r="H36" s="37"/>
      <c r="I36" s="37"/>
      <c r="J36" s="37"/>
      <c r="K36" s="39">
        <v>1</v>
      </c>
      <c r="L36" s="39">
        <v>46.5</v>
      </c>
      <c r="M36" s="38">
        <v>1</v>
      </c>
      <c r="N36" s="38">
        <v>795.1</v>
      </c>
      <c r="O36" s="38"/>
      <c r="P36" s="38"/>
      <c r="Q36" s="38">
        <v>2</v>
      </c>
      <c r="R36" s="38">
        <v>841.6</v>
      </c>
      <c r="S36" s="59" t="s">
        <v>86</v>
      </c>
    </row>
    <row r="37" spans="1:19" ht="153" x14ac:dyDescent="0.35">
      <c r="A37" s="55">
        <v>10.199999999999999</v>
      </c>
      <c r="B37" s="57" t="s">
        <v>87</v>
      </c>
      <c r="C37" s="42"/>
      <c r="D37" s="42"/>
      <c r="E37" s="43"/>
      <c r="F37" s="43"/>
      <c r="G37" s="37"/>
      <c r="H37" s="37"/>
      <c r="I37" s="37"/>
      <c r="J37" s="37"/>
      <c r="K37" s="37"/>
      <c r="L37" s="37"/>
      <c r="M37" s="37"/>
      <c r="N37" s="37"/>
      <c r="O37" s="38">
        <v>2</v>
      </c>
      <c r="P37" s="38">
        <v>169.6</v>
      </c>
      <c r="Q37" s="38">
        <v>2</v>
      </c>
      <c r="R37" s="38">
        <v>169.6</v>
      </c>
      <c r="S37" s="59" t="s">
        <v>88</v>
      </c>
    </row>
    <row r="38" spans="1:19" s="49" customFormat="1" ht="26.25" x14ac:dyDescent="0.45">
      <c r="A38" s="67">
        <v>11</v>
      </c>
      <c r="B38" s="50" t="s">
        <v>23</v>
      </c>
      <c r="C38" s="27">
        <f>C39</f>
        <v>0</v>
      </c>
      <c r="D38" s="27">
        <f t="shared" ref="D38:R38" si="10">D39</f>
        <v>0</v>
      </c>
      <c r="E38" s="27">
        <f t="shared" si="10"/>
        <v>0</v>
      </c>
      <c r="F38" s="27">
        <f t="shared" si="10"/>
        <v>0</v>
      </c>
      <c r="G38" s="27">
        <f t="shared" si="10"/>
        <v>0</v>
      </c>
      <c r="H38" s="27">
        <f t="shared" si="10"/>
        <v>0</v>
      </c>
      <c r="I38" s="27">
        <f t="shared" si="10"/>
        <v>0</v>
      </c>
      <c r="J38" s="27">
        <f t="shared" si="10"/>
        <v>0</v>
      </c>
      <c r="K38" s="27">
        <f t="shared" si="10"/>
        <v>0</v>
      </c>
      <c r="L38" s="27">
        <f t="shared" si="10"/>
        <v>0</v>
      </c>
      <c r="M38" s="27">
        <f t="shared" si="10"/>
        <v>0</v>
      </c>
      <c r="N38" s="27">
        <f t="shared" si="10"/>
        <v>0</v>
      </c>
      <c r="O38" s="27">
        <f t="shared" si="10"/>
        <v>2</v>
      </c>
      <c r="P38" s="27">
        <f t="shared" si="10"/>
        <v>46631.199999999997</v>
      </c>
      <c r="Q38" s="27">
        <f t="shared" si="10"/>
        <v>2</v>
      </c>
      <c r="R38" s="27">
        <f t="shared" si="10"/>
        <v>46631.199999999997</v>
      </c>
      <c r="S38" s="60"/>
    </row>
    <row r="39" spans="1:19" ht="140.25" x14ac:dyDescent="0.35">
      <c r="A39" s="55">
        <v>11.2</v>
      </c>
      <c r="B39" s="53" t="s">
        <v>89</v>
      </c>
      <c r="C39" s="39"/>
      <c r="D39" s="39"/>
      <c r="E39" s="37"/>
      <c r="F39" s="37"/>
      <c r="G39" s="37"/>
      <c r="H39" s="37"/>
      <c r="I39" s="37"/>
      <c r="J39" s="37"/>
      <c r="K39" s="37"/>
      <c r="L39" s="37"/>
      <c r="M39" s="37"/>
      <c r="N39" s="37"/>
      <c r="O39" s="38">
        <v>2</v>
      </c>
      <c r="P39" s="38">
        <v>46631.199999999997</v>
      </c>
      <c r="Q39" s="38">
        <v>2</v>
      </c>
      <c r="R39" s="62">
        <v>46631.199999999997</v>
      </c>
      <c r="S39" s="59" t="s">
        <v>90</v>
      </c>
    </row>
    <row r="40" spans="1:19" s="49" customFormat="1" ht="13.15" x14ac:dyDescent="0.45">
      <c r="A40" s="67">
        <v>12</v>
      </c>
      <c r="B40" s="50" t="s">
        <v>25</v>
      </c>
      <c r="C40" s="27">
        <f>+C41+C42+C43</f>
        <v>0</v>
      </c>
      <c r="D40" s="27">
        <f>+D41+D42+D43</f>
        <v>0</v>
      </c>
      <c r="E40" s="27">
        <f t="shared" ref="E40:R40" si="11">+E41+E42+E43</f>
        <v>0</v>
      </c>
      <c r="F40" s="27">
        <f t="shared" si="11"/>
        <v>0</v>
      </c>
      <c r="G40" s="27">
        <f t="shared" si="11"/>
        <v>0</v>
      </c>
      <c r="H40" s="27">
        <f t="shared" si="11"/>
        <v>0</v>
      </c>
      <c r="I40" s="27">
        <f t="shared" si="11"/>
        <v>0</v>
      </c>
      <c r="J40" s="27">
        <f t="shared" si="11"/>
        <v>0</v>
      </c>
      <c r="K40" s="27">
        <f t="shared" si="11"/>
        <v>1</v>
      </c>
      <c r="L40" s="27">
        <f t="shared" si="11"/>
        <v>174.7</v>
      </c>
      <c r="M40" s="27">
        <f t="shared" si="11"/>
        <v>1</v>
      </c>
      <c r="N40" s="27">
        <f t="shared" si="11"/>
        <v>2474</v>
      </c>
      <c r="O40" s="27">
        <f t="shared" si="11"/>
        <v>2</v>
      </c>
      <c r="P40" s="27">
        <f t="shared" si="11"/>
        <v>878.4</v>
      </c>
      <c r="Q40" s="27">
        <f t="shared" si="11"/>
        <v>4</v>
      </c>
      <c r="R40" s="27">
        <f t="shared" si="11"/>
        <v>3527.1</v>
      </c>
      <c r="S40" s="60"/>
    </row>
    <row r="41" spans="1:19" ht="76.5" x14ac:dyDescent="0.35">
      <c r="A41" s="55">
        <v>12.1</v>
      </c>
      <c r="B41" s="53" t="s">
        <v>91</v>
      </c>
      <c r="C41" s="39"/>
      <c r="D41" s="39"/>
      <c r="E41" s="37"/>
      <c r="F41" s="37"/>
      <c r="G41" s="37"/>
      <c r="H41" s="37"/>
      <c r="I41" s="37"/>
      <c r="J41" s="37"/>
      <c r="K41" s="41">
        <v>1</v>
      </c>
      <c r="L41" s="41">
        <v>174.7</v>
      </c>
      <c r="M41" s="37"/>
      <c r="N41" s="37"/>
      <c r="O41" s="38"/>
      <c r="P41" s="38"/>
      <c r="Q41" s="38">
        <v>1</v>
      </c>
      <c r="R41" s="38">
        <v>174.7</v>
      </c>
      <c r="S41" s="59" t="s">
        <v>92</v>
      </c>
    </row>
    <row r="42" spans="1:19" ht="165.75" x14ac:dyDescent="0.35">
      <c r="A42" s="55">
        <v>12.2</v>
      </c>
      <c r="B42" s="53" t="s">
        <v>93</v>
      </c>
      <c r="C42" s="45"/>
      <c r="D42" s="45"/>
      <c r="E42" s="37"/>
      <c r="F42" s="37"/>
      <c r="G42" s="37"/>
      <c r="H42" s="37"/>
      <c r="I42" s="37"/>
      <c r="J42" s="37"/>
      <c r="K42" s="38"/>
      <c r="L42" s="38"/>
      <c r="M42" s="36">
        <v>1</v>
      </c>
      <c r="N42" s="36">
        <v>2474</v>
      </c>
      <c r="O42" s="38"/>
      <c r="P42" s="38"/>
      <c r="Q42" s="38">
        <v>1</v>
      </c>
      <c r="R42" s="38">
        <v>2474</v>
      </c>
      <c r="S42" s="59" t="s">
        <v>94</v>
      </c>
    </row>
    <row r="43" spans="1:19" s="44" customFormat="1" ht="153" x14ac:dyDescent="0.4">
      <c r="A43" s="55">
        <v>12.3</v>
      </c>
      <c r="B43" s="53" t="s">
        <v>95</v>
      </c>
      <c r="C43" s="39"/>
      <c r="D43" s="39"/>
      <c r="E43" s="38"/>
      <c r="F43" s="37"/>
      <c r="G43" s="37"/>
      <c r="H43" s="37"/>
      <c r="I43" s="37"/>
      <c r="J43" s="37"/>
      <c r="K43" s="37"/>
      <c r="L43" s="37"/>
      <c r="M43" s="37"/>
      <c r="N43" s="37"/>
      <c r="O43" s="38">
        <v>2</v>
      </c>
      <c r="P43" s="38">
        <v>878.4</v>
      </c>
      <c r="Q43" s="38">
        <v>2</v>
      </c>
      <c r="R43" s="38">
        <v>878.4</v>
      </c>
      <c r="S43" s="63" t="s">
        <v>96</v>
      </c>
    </row>
    <row r="44" spans="1:19" ht="13.15" x14ac:dyDescent="0.35">
      <c r="A44" s="67">
        <v>13</v>
      </c>
      <c r="B44" s="50" t="s">
        <v>27</v>
      </c>
      <c r="C44" s="27">
        <f>+C45+C46</f>
        <v>1</v>
      </c>
      <c r="D44" s="27">
        <f>+D45+D46</f>
        <v>51.6</v>
      </c>
      <c r="E44" s="27">
        <f t="shared" ref="E44:R44" si="12">+E45+E46</f>
        <v>1</v>
      </c>
      <c r="F44" s="27">
        <f t="shared" si="12"/>
        <v>500</v>
      </c>
      <c r="G44" s="27">
        <f t="shared" si="12"/>
        <v>0</v>
      </c>
      <c r="H44" s="27">
        <f t="shared" si="12"/>
        <v>0</v>
      </c>
      <c r="I44" s="27">
        <f t="shared" si="12"/>
        <v>0</v>
      </c>
      <c r="J44" s="27">
        <f t="shared" si="12"/>
        <v>0</v>
      </c>
      <c r="K44" s="27">
        <f t="shared" si="12"/>
        <v>1</v>
      </c>
      <c r="L44" s="27">
        <f t="shared" si="12"/>
        <v>0.3</v>
      </c>
      <c r="M44" s="27">
        <f t="shared" si="12"/>
        <v>1</v>
      </c>
      <c r="N44" s="27">
        <f t="shared" si="12"/>
        <v>1697.7</v>
      </c>
      <c r="O44" s="27">
        <f t="shared" si="12"/>
        <v>2</v>
      </c>
      <c r="P44" s="27">
        <f t="shared" si="12"/>
        <v>3413.6</v>
      </c>
      <c r="Q44" s="27">
        <f t="shared" si="12"/>
        <v>6</v>
      </c>
      <c r="R44" s="27">
        <f t="shared" si="12"/>
        <v>5663.2</v>
      </c>
      <c r="S44" s="58"/>
    </row>
    <row r="45" spans="1:19" ht="102" x14ac:dyDescent="0.35">
      <c r="A45" s="55">
        <v>13.1</v>
      </c>
      <c r="B45" s="52" t="s">
        <v>97</v>
      </c>
      <c r="C45" s="39">
        <v>1</v>
      </c>
      <c r="D45" s="39">
        <v>51.6</v>
      </c>
      <c r="E45" s="38">
        <v>1</v>
      </c>
      <c r="F45" s="38">
        <v>500</v>
      </c>
      <c r="G45" s="37"/>
      <c r="H45" s="37"/>
      <c r="I45" s="37"/>
      <c r="J45" s="37"/>
      <c r="K45" s="38">
        <v>1</v>
      </c>
      <c r="L45" s="38">
        <v>0.3</v>
      </c>
      <c r="M45" s="39">
        <v>1</v>
      </c>
      <c r="N45" s="38">
        <v>1697.7</v>
      </c>
      <c r="O45" s="38"/>
      <c r="P45" s="38"/>
      <c r="Q45" s="38">
        <v>4</v>
      </c>
      <c r="R45" s="38">
        <v>2249.6</v>
      </c>
      <c r="S45" s="52" t="s">
        <v>98</v>
      </c>
    </row>
    <row r="46" spans="1:19" ht="178.5" x14ac:dyDescent="0.35">
      <c r="A46" s="55">
        <v>13.2</v>
      </c>
      <c r="B46" s="57" t="s">
        <v>99</v>
      </c>
      <c r="C46" s="45"/>
      <c r="D46" s="42"/>
      <c r="E46" s="43"/>
      <c r="F46" s="43"/>
      <c r="G46" s="37"/>
      <c r="H46" s="37"/>
      <c r="I46" s="37"/>
      <c r="J46" s="37"/>
      <c r="K46" s="37"/>
      <c r="L46" s="37"/>
      <c r="M46" s="38"/>
      <c r="N46" s="38"/>
      <c r="O46" s="38">
        <v>2</v>
      </c>
      <c r="P46" s="38">
        <v>3413.6</v>
      </c>
      <c r="Q46" s="38">
        <v>2</v>
      </c>
      <c r="R46" s="38">
        <v>3413.6</v>
      </c>
      <c r="S46" s="52" t="s">
        <v>100</v>
      </c>
    </row>
    <row r="47" spans="1:19" s="49" customFormat="1" ht="13.15" x14ac:dyDescent="0.4">
      <c r="A47" s="67">
        <v>14</v>
      </c>
      <c r="B47" s="50" t="s">
        <v>28</v>
      </c>
      <c r="C47" s="28">
        <f>+C48</f>
        <v>0</v>
      </c>
      <c r="D47" s="28">
        <f t="shared" ref="D47:R47" si="13">+D48</f>
        <v>0</v>
      </c>
      <c r="E47" s="28">
        <f t="shared" si="13"/>
        <v>0</v>
      </c>
      <c r="F47" s="28">
        <f t="shared" si="13"/>
        <v>0</v>
      </c>
      <c r="G47" s="28">
        <f t="shared" si="13"/>
        <v>0</v>
      </c>
      <c r="H47" s="28">
        <f t="shared" si="13"/>
        <v>0</v>
      </c>
      <c r="I47" s="28">
        <f t="shared" si="13"/>
        <v>0</v>
      </c>
      <c r="J47" s="28">
        <f t="shared" si="13"/>
        <v>0</v>
      </c>
      <c r="K47" s="28">
        <f t="shared" si="13"/>
        <v>0</v>
      </c>
      <c r="L47" s="28">
        <f t="shared" si="13"/>
        <v>0</v>
      </c>
      <c r="M47" s="28">
        <f t="shared" si="13"/>
        <v>0</v>
      </c>
      <c r="N47" s="28">
        <f t="shared" si="13"/>
        <v>0</v>
      </c>
      <c r="O47" s="28">
        <f t="shared" si="13"/>
        <v>2</v>
      </c>
      <c r="P47" s="28">
        <f t="shared" si="13"/>
        <v>4608.1000000000004</v>
      </c>
      <c r="Q47" s="28">
        <f t="shared" si="13"/>
        <v>2</v>
      </c>
      <c r="R47" s="28">
        <f t="shared" si="13"/>
        <v>4608.1000000000004</v>
      </c>
      <c r="S47" s="60"/>
    </row>
    <row r="48" spans="1:19" ht="280.5" x14ac:dyDescent="0.35">
      <c r="A48" s="55">
        <v>14.1</v>
      </c>
      <c r="B48" s="53" t="s">
        <v>101</v>
      </c>
      <c r="C48" s="39"/>
      <c r="D48" s="39"/>
      <c r="E48" s="38"/>
      <c r="F48" s="37"/>
      <c r="G48" s="37"/>
      <c r="H48" s="37"/>
      <c r="I48" s="37"/>
      <c r="J48" s="37"/>
      <c r="K48" s="37"/>
      <c r="L48" s="37"/>
      <c r="M48" s="37"/>
      <c r="N48" s="37"/>
      <c r="O48" s="38">
        <v>2</v>
      </c>
      <c r="P48" s="38">
        <v>4608.1000000000004</v>
      </c>
      <c r="Q48" s="38">
        <v>2</v>
      </c>
      <c r="R48" s="38">
        <v>4608.1000000000004</v>
      </c>
      <c r="S48" s="59" t="s">
        <v>102</v>
      </c>
    </row>
    <row r="49" spans="1:19" ht="13.15" x14ac:dyDescent="0.4">
      <c r="A49" s="67">
        <v>15</v>
      </c>
      <c r="B49" s="50" t="s">
        <v>30</v>
      </c>
      <c r="C49" s="28">
        <f>+C50</f>
        <v>0</v>
      </c>
      <c r="D49" s="28">
        <f t="shared" ref="D49:R49" si="14">+D50</f>
        <v>0</v>
      </c>
      <c r="E49" s="28">
        <f t="shared" si="14"/>
        <v>0</v>
      </c>
      <c r="F49" s="28">
        <f t="shared" si="14"/>
        <v>0</v>
      </c>
      <c r="G49" s="28">
        <f t="shared" si="14"/>
        <v>0</v>
      </c>
      <c r="H49" s="28">
        <f t="shared" si="14"/>
        <v>0</v>
      </c>
      <c r="I49" s="28">
        <f t="shared" si="14"/>
        <v>0</v>
      </c>
      <c r="J49" s="28">
        <f t="shared" si="14"/>
        <v>0</v>
      </c>
      <c r="K49" s="28">
        <f t="shared" si="14"/>
        <v>0</v>
      </c>
      <c r="L49" s="28">
        <f t="shared" si="14"/>
        <v>0</v>
      </c>
      <c r="M49" s="28">
        <f t="shared" si="14"/>
        <v>0</v>
      </c>
      <c r="N49" s="28">
        <f t="shared" si="14"/>
        <v>0</v>
      </c>
      <c r="O49" s="28">
        <f t="shared" si="14"/>
        <v>2</v>
      </c>
      <c r="P49" s="28">
        <f t="shared" si="14"/>
        <v>296.3</v>
      </c>
      <c r="Q49" s="28">
        <f t="shared" si="14"/>
        <v>2</v>
      </c>
      <c r="R49" s="28">
        <f t="shared" si="14"/>
        <v>296.3</v>
      </c>
      <c r="S49" s="58"/>
    </row>
    <row r="50" spans="1:19" ht="165.75" x14ac:dyDescent="0.35">
      <c r="A50" s="55">
        <v>15.1</v>
      </c>
      <c r="B50" s="53" t="s">
        <v>103</v>
      </c>
      <c r="C50" s="45"/>
      <c r="D50" s="39"/>
      <c r="E50" s="38"/>
      <c r="F50" s="38"/>
      <c r="G50" s="38"/>
      <c r="H50" s="37"/>
      <c r="I50" s="37"/>
      <c r="J50" s="37"/>
      <c r="K50" s="37"/>
      <c r="L50" s="37"/>
      <c r="M50" s="37"/>
      <c r="N50" s="37"/>
      <c r="O50" s="38">
        <v>2</v>
      </c>
      <c r="P50" s="38">
        <v>296.3</v>
      </c>
      <c r="Q50" s="38">
        <v>2</v>
      </c>
      <c r="R50" s="38">
        <v>296.3</v>
      </c>
      <c r="S50" s="59" t="s">
        <v>104</v>
      </c>
    </row>
    <row r="51" spans="1:19" s="29" customFormat="1" ht="26.25" x14ac:dyDescent="0.4">
      <c r="A51" s="67">
        <v>16</v>
      </c>
      <c r="B51" s="50" t="s">
        <v>31</v>
      </c>
      <c r="C51" s="27">
        <f>+C52+C53</f>
        <v>0</v>
      </c>
      <c r="D51" s="27">
        <f t="shared" ref="D51:R51" si="15">+D52+D53</f>
        <v>0</v>
      </c>
      <c r="E51" s="27">
        <f t="shared" si="15"/>
        <v>0</v>
      </c>
      <c r="F51" s="27">
        <f t="shared" si="15"/>
        <v>0</v>
      </c>
      <c r="G51" s="27">
        <f t="shared" si="15"/>
        <v>0</v>
      </c>
      <c r="H51" s="27">
        <f t="shared" si="15"/>
        <v>0</v>
      </c>
      <c r="I51" s="27">
        <f t="shared" si="15"/>
        <v>0</v>
      </c>
      <c r="J51" s="27">
        <f t="shared" si="15"/>
        <v>0</v>
      </c>
      <c r="K51" s="27">
        <f t="shared" si="15"/>
        <v>1</v>
      </c>
      <c r="L51" s="27">
        <f t="shared" si="15"/>
        <v>16.2</v>
      </c>
      <c r="M51" s="27">
        <f t="shared" si="15"/>
        <v>0</v>
      </c>
      <c r="N51" s="27">
        <f t="shared" si="15"/>
        <v>0</v>
      </c>
      <c r="O51" s="27">
        <f t="shared" si="15"/>
        <v>2</v>
      </c>
      <c r="P51" s="27">
        <f t="shared" si="15"/>
        <v>38.1</v>
      </c>
      <c r="Q51" s="27">
        <f t="shared" si="15"/>
        <v>3</v>
      </c>
      <c r="R51" s="27">
        <f t="shared" si="15"/>
        <v>54.3</v>
      </c>
      <c r="S51" s="60"/>
    </row>
    <row r="52" spans="1:19" ht="76.5" x14ac:dyDescent="0.35">
      <c r="A52" s="55">
        <v>16.100000000000001</v>
      </c>
      <c r="B52" s="54" t="s">
        <v>105</v>
      </c>
      <c r="C52" s="39"/>
      <c r="D52" s="39"/>
      <c r="E52" s="37"/>
      <c r="F52" s="37"/>
      <c r="G52" s="37"/>
      <c r="H52" s="37"/>
      <c r="I52" s="37"/>
      <c r="J52" s="37"/>
      <c r="K52" s="37">
        <v>1</v>
      </c>
      <c r="L52" s="37">
        <v>16.2</v>
      </c>
      <c r="M52" s="37"/>
      <c r="N52" s="37"/>
      <c r="O52" s="38"/>
      <c r="P52" s="38"/>
      <c r="Q52" s="38">
        <v>1</v>
      </c>
      <c r="R52" s="38">
        <v>16.2</v>
      </c>
      <c r="S52" s="52" t="s">
        <v>106</v>
      </c>
    </row>
    <row r="53" spans="1:19" s="44" customFormat="1" ht="140.25" x14ac:dyDescent="0.4">
      <c r="A53" s="55">
        <v>16.2</v>
      </c>
      <c r="B53" s="54" t="s">
        <v>107</v>
      </c>
      <c r="C53" s="39"/>
      <c r="D53" s="39"/>
      <c r="E53" s="38"/>
      <c r="F53" s="37"/>
      <c r="G53" s="37"/>
      <c r="H53" s="37"/>
      <c r="I53" s="37"/>
      <c r="J53" s="37"/>
      <c r="K53" s="37"/>
      <c r="L53" s="37"/>
      <c r="M53" s="37"/>
      <c r="N53" s="37"/>
      <c r="O53" s="38">
        <v>2</v>
      </c>
      <c r="P53" s="38">
        <v>38.1</v>
      </c>
      <c r="Q53" s="38">
        <v>2</v>
      </c>
      <c r="R53" s="38">
        <v>38.1</v>
      </c>
      <c r="S53" s="52" t="s">
        <v>108</v>
      </c>
    </row>
    <row r="54" spans="1:19" s="22" customFormat="1" ht="13.15" x14ac:dyDescent="0.45">
      <c r="A54" s="73" t="s">
        <v>109</v>
      </c>
      <c r="B54" s="73"/>
      <c r="C54" s="26">
        <f t="shared" ref="C54:R54" si="16">+C51+C49+C47+C44+C40+C38+C35+C32+C29+C26+C23+C19+C17+C14+C11+C8</f>
        <v>4</v>
      </c>
      <c r="D54" s="26">
        <f t="shared" si="16"/>
        <v>222385.6</v>
      </c>
      <c r="E54" s="26">
        <f t="shared" si="16"/>
        <v>1</v>
      </c>
      <c r="F54" s="26">
        <f t="shared" si="16"/>
        <v>500</v>
      </c>
      <c r="G54" s="26">
        <f t="shared" si="16"/>
        <v>0</v>
      </c>
      <c r="H54" s="26">
        <f t="shared" si="16"/>
        <v>0</v>
      </c>
      <c r="I54" s="26">
        <f t="shared" si="16"/>
        <v>0</v>
      </c>
      <c r="J54" s="26">
        <f t="shared" si="16"/>
        <v>0</v>
      </c>
      <c r="K54" s="26">
        <f t="shared" si="16"/>
        <v>9</v>
      </c>
      <c r="L54" s="26">
        <f t="shared" si="16"/>
        <v>414546.8</v>
      </c>
      <c r="M54" s="26">
        <f t="shared" si="16"/>
        <v>4</v>
      </c>
      <c r="N54" s="26">
        <f t="shared" si="16"/>
        <v>11234.6</v>
      </c>
      <c r="O54" s="26">
        <f t="shared" si="16"/>
        <v>29</v>
      </c>
      <c r="P54" s="26">
        <f t="shared" si="16"/>
        <v>663305.30000000005</v>
      </c>
      <c r="Q54" s="26">
        <f t="shared" si="16"/>
        <v>47</v>
      </c>
      <c r="R54" s="26">
        <f t="shared" si="16"/>
        <v>1311972.3</v>
      </c>
      <c r="S54" s="58"/>
    </row>
  </sheetData>
  <mergeCells count="14">
    <mergeCell ref="Q6:R6"/>
    <mergeCell ref="S6:S7"/>
    <mergeCell ref="S15:S16"/>
    <mergeCell ref="A54:B54"/>
    <mergeCell ref="A3:S3"/>
    <mergeCell ref="A6:A7"/>
    <mergeCell ref="B6:B7"/>
    <mergeCell ref="C6:D6"/>
    <mergeCell ref="E6:F6"/>
    <mergeCell ref="G6:H6"/>
    <mergeCell ref="I6:J6"/>
    <mergeCell ref="K6:L6"/>
    <mergeCell ref="M6:N6"/>
    <mergeCell ref="O6:P6"/>
  </mergeCells>
  <printOptions horizontalCentered="1"/>
  <pageMargins left="0.32" right="0.2" top="0.75" bottom="0.2" header="0.3" footer="0.3"/>
  <pageSetup paperSize="9" scale="61" fitToHeight="0" orientation="landscape" r:id="rId1"/>
  <rowBreaks count="7" manualBreakCount="7">
    <brk id="10" max="16383" man="1"/>
    <brk id="16" max="16383" man="1"/>
    <brk id="22" max="16383" man="1"/>
    <brk id="28" max="16383" man="1"/>
    <brk id="36" max="18" man="1"/>
    <brk id="43" max="16383" man="1"/>
    <brk id="50"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2D80-8A67-4B79-86A6-C5CDDFA4CFA1}">
  <dimension ref="A1:S55"/>
  <sheetViews>
    <sheetView zoomScaleNormal="100" workbookViewId="0">
      <pane xSplit="2" ySplit="6" topLeftCell="Q7" activePane="bottomRight" state="frozen"/>
      <selection pane="topRight" activeCell="C1" sqref="C1"/>
      <selection pane="bottomLeft" activeCell="A7" sqref="A7"/>
      <selection pane="bottomRight" activeCell="B10" sqref="B10"/>
    </sheetView>
  </sheetViews>
  <sheetFormatPr defaultColWidth="9" defaultRowHeight="12.75" x14ac:dyDescent="0.35"/>
  <cols>
    <col min="1" max="1" width="5.73046875" style="68" customWidth="1"/>
    <col min="2" max="2" width="46.1328125" style="21" customWidth="1"/>
    <col min="3" max="3" width="9.3984375" style="20" customWidth="1"/>
    <col min="4" max="4" width="13.86328125" style="21" customWidth="1"/>
    <col min="5" max="5" width="9" style="21" customWidth="1"/>
    <col min="6" max="6" width="8.86328125" style="21" customWidth="1"/>
    <col min="7" max="7" width="9.3984375" style="21" hidden="1" customWidth="1"/>
    <col min="8" max="8" width="10.1328125" style="21" hidden="1" customWidth="1"/>
    <col min="9" max="10" width="9.1328125" style="21" customWidth="1"/>
    <col min="11" max="11" width="9.1328125" style="20" customWidth="1"/>
    <col min="12" max="12" width="11.3984375" style="21" customWidth="1"/>
    <col min="13" max="13" width="9" style="21" customWidth="1"/>
    <col min="14" max="14" width="10" style="21" customWidth="1"/>
    <col min="15" max="15" width="9" style="22" customWidth="1"/>
    <col min="16" max="16" width="11.86328125" style="22" customWidth="1"/>
    <col min="17" max="17" width="9.59765625" style="21" customWidth="1"/>
    <col min="18" max="18" width="13.3984375" style="21" customWidth="1"/>
    <col min="19" max="19" width="60.59765625" style="65" customWidth="1"/>
    <col min="20" max="16384" width="9" style="21"/>
  </cols>
  <sheetData>
    <row r="1" spans="1:19" x14ac:dyDescent="0.35">
      <c r="A1" s="66"/>
      <c r="B1" s="31"/>
      <c r="C1" s="31"/>
      <c r="D1" s="31"/>
      <c r="E1" s="32"/>
      <c r="F1" s="32"/>
      <c r="G1" s="32"/>
      <c r="H1" s="32"/>
      <c r="I1" s="32"/>
      <c r="J1" s="32"/>
      <c r="K1" s="32"/>
      <c r="L1" s="32"/>
      <c r="M1" s="32"/>
      <c r="N1" s="32"/>
      <c r="O1" s="30"/>
      <c r="P1" s="30"/>
      <c r="Q1" s="31"/>
      <c r="R1" s="31"/>
      <c r="S1" s="64" t="s">
        <v>32</v>
      </c>
    </row>
    <row r="2" spans="1:19" ht="27.75" customHeight="1" x14ac:dyDescent="0.35">
      <c r="A2" s="74" t="s">
        <v>33</v>
      </c>
      <c r="B2" s="74"/>
      <c r="C2" s="74"/>
      <c r="D2" s="74"/>
      <c r="E2" s="74"/>
      <c r="F2" s="74"/>
      <c r="G2" s="74"/>
      <c r="H2" s="74"/>
      <c r="I2" s="74"/>
      <c r="J2" s="74"/>
      <c r="K2" s="74"/>
      <c r="L2" s="74"/>
      <c r="M2" s="74"/>
      <c r="N2" s="74"/>
      <c r="O2" s="74"/>
      <c r="P2" s="74"/>
      <c r="Q2" s="74"/>
      <c r="R2" s="74"/>
      <c r="S2" s="74"/>
    </row>
    <row r="3" spans="1:19" ht="14.65" customHeight="1" x14ac:dyDescent="0.35">
      <c r="A3" s="66"/>
      <c r="B3" s="31"/>
      <c r="C3" s="31"/>
      <c r="D3" s="31"/>
      <c r="E3" s="32"/>
      <c r="F3" s="32"/>
      <c r="G3" s="32"/>
      <c r="H3" s="32"/>
      <c r="I3" s="32"/>
      <c r="J3" s="32"/>
      <c r="K3" s="32"/>
      <c r="L3" s="32"/>
      <c r="M3" s="32"/>
      <c r="N3" s="32"/>
      <c r="O3" s="30"/>
      <c r="P3" s="30"/>
      <c r="Q3" s="31"/>
      <c r="R3" s="33" t="s">
        <v>34</v>
      </c>
    </row>
    <row r="4" spans="1:19" ht="32.25" customHeight="1" x14ac:dyDescent="0.35">
      <c r="A4" s="75" t="s">
        <v>35</v>
      </c>
      <c r="B4" s="70" t="s">
        <v>36</v>
      </c>
      <c r="C4" s="76" t="s">
        <v>37</v>
      </c>
      <c r="D4" s="76"/>
      <c r="E4" s="77" t="s">
        <v>38</v>
      </c>
      <c r="F4" s="77"/>
      <c r="G4" s="77" t="s">
        <v>39</v>
      </c>
      <c r="H4" s="77"/>
      <c r="I4" s="77" t="s">
        <v>40</v>
      </c>
      <c r="J4" s="77"/>
      <c r="K4" s="77" t="s">
        <v>41</v>
      </c>
      <c r="L4" s="77"/>
      <c r="M4" s="77" t="s">
        <v>42</v>
      </c>
      <c r="N4" s="77"/>
      <c r="O4" s="77" t="s">
        <v>43</v>
      </c>
      <c r="P4" s="77"/>
      <c r="Q4" s="70" t="s">
        <v>44</v>
      </c>
      <c r="R4" s="70"/>
      <c r="S4" s="71" t="s">
        <v>45</v>
      </c>
    </row>
    <row r="5" spans="1:19" ht="40.5" customHeight="1" x14ac:dyDescent="0.35">
      <c r="A5" s="75"/>
      <c r="B5" s="70"/>
      <c r="C5" s="34" t="s">
        <v>46</v>
      </c>
      <c r="D5" s="34" t="s">
        <v>47</v>
      </c>
      <c r="E5" s="35" t="s">
        <v>46</v>
      </c>
      <c r="F5" s="35" t="s">
        <v>47</v>
      </c>
      <c r="G5" s="35" t="s">
        <v>46</v>
      </c>
      <c r="H5" s="35" t="s">
        <v>47</v>
      </c>
      <c r="I5" s="35" t="s">
        <v>46</v>
      </c>
      <c r="J5" s="35" t="s">
        <v>47</v>
      </c>
      <c r="K5" s="35" t="s">
        <v>46</v>
      </c>
      <c r="L5" s="35" t="s">
        <v>47</v>
      </c>
      <c r="M5" s="35" t="s">
        <v>46</v>
      </c>
      <c r="N5" s="35" t="s">
        <v>47</v>
      </c>
      <c r="O5" s="35" t="s">
        <v>46</v>
      </c>
      <c r="P5" s="35" t="s">
        <v>47</v>
      </c>
      <c r="Q5" s="35" t="s">
        <v>46</v>
      </c>
      <c r="R5" s="35" t="s">
        <v>47</v>
      </c>
      <c r="S5" s="71"/>
    </row>
    <row r="6" spans="1:19" s="29" customFormat="1" ht="14.45" customHeight="1" x14ac:dyDescent="0.4">
      <c r="A6" s="67">
        <v>1</v>
      </c>
      <c r="B6" s="56" t="s">
        <v>4</v>
      </c>
      <c r="C6" s="28">
        <f>+C7+C8+C9+C10</f>
        <v>1</v>
      </c>
      <c r="D6" s="28">
        <f t="shared" ref="D6:R6" si="0">+D7+D8+D9+D10</f>
        <v>176584</v>
      </c>
      <c r="E6" s="28">
        <f t="shared" si="0"/>
        <v>0</v>
      </c>
      <c r="F6" s="28">
        <f t="shared" si="0"/>
        <v>0</v>
      </c>
      <c r="G6" s="28">
        <f t="shared" si="0"/>
        <v>0</v>
      </c>
      <c r="H6" s="28">
        <f t="shared" si="0"/>
        <v>0</v>
      </c>
      <c r="I6" s="28">
        <f t="shared" si="0"/>
        <v>0</v>
      </c>
      <c r="J6" s="28">
        <f t="shared" si="0"/>
        <v>0</v>
      </c>
      <c r="K6" s="28">
        <f t="shared" si="0"/>
        <v>2</v>
      </c>
      <c r="L6" s="28">
        <f t="shared" si="0"/>
        <v>273929.2</v>
      </c>
      <c r="M6" s="28">
        <f t="shared" si="0"/>
        <v>0</v>
      </c>
      <c r="N6" s="28">
        <f t="shared" si="0"/>
        <v>0</v>
      </c>
      <c r="O6" s="28">
        <f t="shared" si="0"/>
        <v>1</v>
      </c>
      <c r="P6" s="28">
        <f t="shared" si="0"/>
        <v>0</v>
      </c>
      <c r="Q6" s="28">
        <f t="shared" si="0"/>
        <v>4</v>
      </c>
      <c r="R6" s="28">
        <f t="shared" si="0"/>
        <v>450513.19999999995</v>
      </c>
      <c r="S6" s="60"/>
    </row>
    <row r="7" spans="1:19" ht="112.5" customHeight="1" x14ac:dyDescent="0.35">
      <c r="A7" s="55">
        <v>1.1000000000000001</v>
      </c>
      <c r="B7" s="57" t="s">
        <v>48</v>
      </c>
      <c r="C7" s="36">
        <v>1</v>
      </c>
      <c r="D7" s="36">
        <v>176584</v>
      </c>
      <c r="E7" s="37"/>
      <c r="F7" s="37"/>
      <c r="G7" s="37"/>
      <c r="H7" s="37"/>
      <c r="I7" s="37"/>
      <c r="J7" s="37"/>
      <c r="K7" s="38"/>
      <c r="L7" s="38"/>
      <c r="M7" s="37"/>
      <c r="N7" s="37"/>
      <c r="O7" s="38"/>
      <c r="P7" s="38"/>
      <c r="Q7" s="38">
        <v>1</v>
      </c>
      <c r="R7" s="38">
        <v>176584</v>
      </c>
      <c r="S7" s="52" t="s">
        <v>49</v>
      </c>
    </row>
    <row r="8" spans="1:19" ht="77.650000000000006" customHeight="1" x14ac:dyDescent="0.35">
      <c r="A8" s="55">
        <v>1.2</v>
      </c>
      <c r="B8" s="57" t="s">
        <v>110</v>
      </c>
      <c r="C8" s="45"/>
      <c r="D8" s="45"/>
      <c r="E8" s="37"/>
      <c r="F8" s="37"/>
      <c r="G8" s="37"/>
      <c r="H8" s="37"/>
      <c r="I8" s="37"/>
      <c r="J8" s="37"/>
      <c r="K8" s="35">
        <v>1</v>
      </c>
      <c r="L8" s="38">
        <v>116044.3</v>
      </c>
      <c r="M8" s="37"/>
      <c r="N8" s="37"/>
      <c r="O8" s="38"/>
      <c r="P8" s="38"/>
      <c r="Q8" s="38">
        <v>1</v>
      </c>
      <c r="R8" s="38">
        <v>116044.3</v>
      </c>
      <c r="S8" s="52" t="s">
        <v>111</v>
      </c>
    </row>
    <row r="9" spans="1:19" ht="100.15" customHeight="1" x14ac:dyDescent="0.35">
      <c r="A9" s="55">
        <v>1.3</v>
      </c>
      <c r="B9" s="57" t="s">
        <v>112</v>
      </c>
      <c r="C9" s="45"/>
      <c r="D9" s="45"/>
      <c r="E9" s="37"/>
      <c r="F9" s="37"/>
      <c r="G9" s="37"/>
      <c r="H9" s="37"/>
      <c r="I9" s="37"/>
      <c r="J9" s="37"/>
      <c r="K9" s="39">
        <v>1</v>
      </c>
      <c r="L9" s="39">
        <v>157884.9</v>
      </c>
      <c r="M9" s="37"/>
      <c r="N9" s="37"/>
      <c r="O9" s="38"/>
      <c r="P9" s="38"/>
      <c r="Q9" s="38">
        <v>1</v>
      </c>
      <c r="R9" s="38">
        <v>157884.9</v>
      </c>
      <c r="S9" s="52" t="s">
        <v>113</v>
      </c>
    </row>
    <row r="10" spans="1:19" ht="264.39999999999998" customHeight="1" x14ac:dyDescent="0.35">
      <c r="A10" s="55">
        <v>1.4</v>
      </c>
      <c r="B10" s="57" t="s">
        <v>50</v>
      </c>
      <c r="C10" s="45"/>
      <c r="D10" s="45"/>
      <c r="E10" s="37"/>
      <c r="F10" s="37"/>
      <c r="G10" s="37"/>
      <c r="H10" s="37"/>
      <c r="I10" s="37"/>
      <c r="J10" s="37"/>
      <c r="K10" s="37"/>
      <c r="L10" s="37"/>
      <c r="M10" s="37"/>
      <c r="N10" s="37"/>
      <c r="O10" s="38">
        <v>1</v>
      </c>
      <c r="P10" s="38"/>
      <c r="Q10" s="38">
        <v>1</v>
      </c>
      <c r="R10" s="38">
        <v>0</v>
      </c>
      <c r="S10" s="59" t="s">
        <v>51</v>
      </c>
    </row>
    <row r="11" spans="1:19" s="29" customFormat="1" ht="15.75" customHeight="1" x14ac:dyDescent="0.4">
      <c r="A11" s="67">
        <v>2</v>
      </c>
      <c r="B11" s="50" t="s">
        <v>52</v>
      </c>
      <c r="C11" s="40">
        <f>+C12+C13</f>
        <v>0</v>
      </c>
      <c r="D11" s="40">
        <f t="shared" ref="D11:R11" si="1">+D12+D13</f>
        <v>0</v>
      </c>
      <c r="E11" s="40">
        <f t="shared" si="1"/>
        <v>0</v>
      </c>
      <c r="F11" s="40">
        <f t="shared" si="1"/>
        <v>0</v>
      </c>
      <c r="G11" s="40">
        <f t="shared" si="1"/>
        <v>0</v>
      </c>
      <c r="H11" s="40">
        <f t="shared" si="1"/>
        <v>0</v>
      </c>
      <c r="I11" s="40">
        <f t="shared" si="1"/>
        <v>0</v>
      </c>
      <c r="J11" s="40">
        <f t="shared" si="1"/>
        <v>0</v>
      </c>
      <c r="K11" s="40">
        <f t="shared" si="1"/>
        <v>1</v>
      </c>
      <c r="L11" s="40">
        <f t="shared" si="1"/>
        <v>7418.4</v>
      </c>
      <c r="M11" s="40">
        <f t="shared" si="1"/>
        <v>0</v>
      </c>
      <c r="N11" s="40">
        <f t="shared" si="1"/>
        <v>0</v>
      </c>
      <c r="O11" s="40">
        <f t="shared" si="1"/>
        <v>2</v>
      </c>
      <c r="P11" s="40">
        <f t="shared" si="1"/>
        <v>41896.400000000001</v>
      </c>
      <c r="Q11" s="40">
        <f t="shared" si="1"/>
        <v>3</v>
      </c>
      <c r="R11" s="40">
        <f t="shared" si="1"/>
        <v>49314.8</v>
      </c>
      <c r="S11" s="60"/>
    </row>
    <row r="12" spans="1:19" ht="246" customHeight="1" x14ac:dyDescent="0.35">
      <c r="A12" s="55">
        <v>2.1</v>
      </c>
      <c r="B12" s="52" t="s">
        <v>53</v>
      </c>
      <c r="C12" s="39"/>
      <c r="D12" s="39"/>
      <c r="E12" s="37"/>
      <c r="F12" s="37"/>
      <c r="G12" s="37"/>
      <c r="H12" s="37"/>
      <c r="I12" s="37"/>
      <c r="J12" s="37"/>
      <c r="K12" s="41">
        <v>1</v>
      </c>
      <c r="L12" s="41">
        <v>7418.4</v>
      </c>
      <c r="M12" s="37"/>
      <c r="N12" s="37"/>
      <c r="O12" s="38"/>
      <c r="P12" s="38"/>
      <c r="Q12" s="38">
        <v>1</v>
      </c>
      <c r="R12" s="38">
        <v>7418.4</v>
      </c>
      <c r="S12" s="53" t="s">
        <v>54</v>
      </c>
    </row>
    <row r="13" spans="1:19" ht="143.25" customHeight="1" x14ac:dyDescent="0.35">
      <c r="A13" s="55">
        <v>2.2000000000000002</v>
      </c>
      <c r="B13" s="52" t="s">
        <v>55</v>
      </c>
      <c r="C13" s="39"/>
      <c r="D13" s="39"/>
      <c r="E13" s="38"/>
      <c r="F13" s="37"/>
      <c r="G13" s="37"/>
      <c r="H13" s="37"/>
      <c r="I13" s="37"/>
      <c r="J13" s="37"/>
      <c r="K13" s="37"/>
      <c r="L13" s="37"/>
      <c r="M13" s="37"/>
      <c r="N13" s="37"/>
      <c r="O13" s="38">
        <v>2</v>
      </c>
      <c r="P13" s="38">
        <v>41896.400000000001</v>
      </c>
      <c r="Q13" s="38">
        <v>2</v>
      </c>
      <c r="R13" s="38">
        <v>41896.400000000001</v>
      </c>
      <c r="S13" s="53" t="s">
        <v>56</v>
      </c>
    </row>
    <row r="14" spans="1:19" s="29" customFormat="1" ht="21.75" customHeight="1" x14ac:dyDescent="0.4">
      <c r="A14" s="67">
        <v>3</v>
      </c>
      <c r="B14" s="51" t="s">
        <v>57</v>
      </c>
      <c r="C14" s="27">
        <f>C15+C16</f>
        <v>0</v>
      </c>
      <c r="D14" s="27">
        <f t="shared" ref="D14:P14" si="2">D15+D16</f>
        <v>0</v>
      </c>
      <c r="E14" s="27">
        <f t="shared" si="2"/>
        <v>0</v>
      </c>
      <c r="F14" s="27">
        <f t="shared" si="2"/>
        <v>0</v>
      </c>
      <c r="G14" s="27">
        <f t="shared" si="2"/>
        <v>0</v>
      </c>
      <c r="H14" s="27">
        <f t="shared" si="2"/>
        <v>0</v>
      </c>
      <c r="I14" s="27">
        <f t="shared" si="2"/>
        <v>0</v>
      </c>
      <c r="J14" s="27">
        <f t="shared" si="2"/>
        <v>0</v>
      </c>
      <c r="K14" s="27">
        <f t="shared" si="2"/>
        <v>1</v>
      </c>
      <c r="L14" s="27">
        <f t="shared" si="2"/>
        <v>1444.5</v>
      </c>
      <c r="M14" s="27">
        <f t="shared" si="2"/>
        <v>0</v>
      </c>
      <c r="N14" s="27">
        <f t="shared" si="2"/>
        <v>0</v>
      </c>
      <c r="O14" s="27">
        <f t="shared" si="2"/>
        <v>2</v>
      </c>
      <c r="P14" s="27">
        <f t="shared" si="2"/>
        <v>406222.9</v>
      </c>
      <c r="Q14" s="27">
        <f t="shared" ref="Q14" si="3">Q15+Q16</f>
        <v>3</v>
      </c>
      <c r="R14" s="27">
        <f t="shared" ref="R14" si="4">R15+R16</f>
        <v>407667.4</v>
      </c>
      <c r="S14" s="60"/>
    </row>
    <row r="15" spans="1:19" ht="36.4" customHeight="1" x14ac:dyDescent="0.35">
      <c r="A15" s="55">
        <v>3.1</v>
      </c>
      <c r="B15" s="52" t="s">
        <v>58</v>
      </c>
      <c r="C15" s="39"/>
      <c r="D15" s="39"/>
      <c r="E15" s="38"/>
      <c r="F15" s="38"/>
      <c r="G15" s="38"/>
      <c r="H15" s="38"/>
      <c r="I15" s="38"/>
      <c r="J15" s="38"/>
      <c r="K15" s="41">
        <v>1</v>
      </c>
      <c r="L15" s="41">
        <v>1444.5</v>
      </c>
      <c r="M15" s="38"/>
      <c r="N15" s="37"/>
      <c r="O15" s="38"/>
      <c r="P15" s="38"/>
      <c r="Q15" s="38">
        <v>1</v>
      </c>
      <c r="R15" s="38">
        <v>1444.5</v>
      </c>
      <c r="S15" s="72" t="s">
        <v>59</v>
      </c>
    </row>
    <row r="16" spans="1:19" ht="120" customHeight="1" x14ac:dyDescent="0.35">
      <c r="A16" s="55">
        <v>3.2</v>
      </c>
      <c r="B16" s="52" t="s">
        <v>60</v>
      </c>
      <c r="C16" s="42"/>
      <c r="D16" s="42"/>
      <c r="E16" s="43"/>
      <c r="F16" s="38"/>
      <c r="G16" s="38"/>
      <c r="H16" s="38"/>
      <c r="I16" s="38"/>
      <c r="J16" s="38"/>
      <c r="K16" s="38"/>
      <c r="L16" s="38"/>
      <c r="M16" s="38"/>
      <c r="N16" s="37"/>
      <c r="O16" s="38">
        <v>2</v>
      </c>
      <c r="P16" s="38">
        <v>406222.9</v>
      </c>
      <c r="Q16" s="38">
        <v>2</v>
      </c>
      <c r="R16" s="38">
        <v>406222.9</v>
      </c>
      <c r="S16" s="72"/>
    </row>
    <row r="17" spans="1:19" ht="20.25" customHeight="1" x14ac:dyDescent="0.35">
      <c r="A17" s="67">
        <v>4</v>
      </c>
      <c r="B17" s="51" t="s">
        <v>10</v>
      </c>
      <c r="C17" s="27">
        <f>+C18</f>
        <v>0</v>
      </c>
      <c r="D17" s="27">
        <f t="shared" ref="D17:R17" si="5">+D18</f>
        <v>0</v>
      </c>
      <c r="E17" s="27">
        <f t="shared" si="5"/>
        <v>0</v>
      </c>
      <c r="F17" s="27">
        <f t="shared" si="5"/>
        <v>0</v>
      </c>
      <c r="G17" s="27">
        <f t="shared" si="5"/>
        <v>0</v>
      </c>
      <c r="H17" s="27">
        <f t="shared" si="5"/>
        <v>0</v>
      </c>
      <c r="I17" s="27">
        <f t="shared" si="5"/>
        <v>0</v>
      </c>
      <c r="J17" s="27">
        <f t="shared" si="5"/>
        <v>0</v>
      </c>
      <c r="K17" s="27">
        <f t="shared" si="5"/>
        <v>0</v>
      </c>
      <c r="L17" s="27">
        <f t="shared" si="5"/>
        <v>0</v>
      </c>
      <c r="M17" s="27">
        <f t="shared" si="5"/>
        <v>0</v>
      </c>
      <c r="N17" s="27">
        <f t="shared" si="5"/>
        <v>0</v>
      </c>
      <c r="O17" s="27">
        <f t="shared" si="5"/>
        <v>2</v>
      </c>
      <c r="P17" s="27">
        <f t="shared" si="5"/>
        <v>94723.5</v>
      </c>
      <c r="Q17" s="27">
        <f t="shared" si="5"/>
        <v>2</v>
      </c>
      <c r="R17" s="27">
        <f t="shared" si="5"/>
        <v>94723.5</v>
      </c>
      <c r="S17" s="60"/>
    </row>
    <row r="18" spans="1:19" s="44" customFormat="1" ht="169.9" customHeight="1" x14ac:dyDescent="0.4">
      <c r="A18" s="55">
        <v>4.0999999999999996</v>
      </c>
      <c r="B18" s="54" t="s">
        <v>61</v>
      </c>
      <c r="C18" s="39"/>
      <c r="D18" s="39"/>
      <c r="E18" s="38"/>
      <c r="F18" s="38"/>
      <c r="G18" s="38"/>
      <c r="H18" s="38"/>
      <c r="I18" s="38"/>
      <c r="J18" s="38"/>
      <c r="K18" s="38"/>
      <c r="L18" s="38"/>
      <c r="M18" s="38"/>
      <c r="N18" s="37"/>
      <c r="O18" s="38">
        <v>2</v>
      </c>
      <c r="P18" s="38">
        <v>94723.5</v>
      </c>
      <c r="Q18" s="38">
        <v>2</v>
      </c>
      <c r="R18" s="38">
        <v>94723.5</v>
      </c>
      <c r="S18" s="53" t="s">
        <v>62</v>
      </c>
    </row>
    <row r="19" spans="1:19" ht="22.9" customHeight="1" x14ac:dyDescent="0.35">
      <c r="A19" s="67">
        <v>5</v>
      </c>
      <c r="B19" s="51" t="s">
        <v>12</v>
      </c>
      <c r="C19" s="27">
        <f>+C20+C21+C22</f>
        <v>1</v>
      </c>
      <c r="D19" s="27">
        <f t="shared" ref="D19:R19" si="6">+D20+D21+D22</f>
        <v>39887.1</v>
      </c>
      <c r="E19" s="27">
        <f t="shared" si="6"/>
        <v>0</v>
      </c>
      <c r="F19" s="27">
        <f t="shared" si="6"/>
        <v>0</v>
      </c>
      <c r="G19" s="27">
        <f t="shared" si="6"/>
        <v>0</v>
      </c>
      <c r="H19" s="27">
        <f t="shared" si="6"/>
        <v>0</v>
      </c>
      <c r="I19" s="27">
        <f t="shared" si="6"/>
        <v>0</v>
      </c>
      <c r="J19" s="27">
        <f t="shared" si="6"/>
        <v>0</v>
      </c>
      <c r="K19" s="27">
        <f t="shared" si="6"/>
        <v>1</v>
      </c>
      <c r="L19" s="27">
        <f t="shared" si="6"/>
        <v>2321.3000000000002</v>
      </c>
      <c r="M19" s="27">
        <f t="shared" si="6"/>
        <v>0</v>
      </c>
      <c r="N19" s="27">
        <f t="shared" si="6"/>
        <v>0</v>
      </c>
      <c r="O19" s="27">
        <f t="shared" si="6"/>
        <v>2</v>
      </c>
      <c r="P19" s="27">
        <f t="shared" si="6"/>
        <v>33004.6</v>
      </c>
      <c r="Q19" s="27">
        <f t="shared" si="6"/>
        <v>4</v>
      </c>
      <c r="R19" s="27">
        <f t="shared" si="6"/>
        <v>75213</v>
      </c>
      <c r="S19" s="51"/>
    </row>
    <row r="20" spans="1:19" ht="54" customHeight="1" x14ac:dyDescent="0.35">
      <c r="A20" s="55">
        <v>5.0999999999999996</v>
      </c>
      <c r="B20" s="52" t="s">
        <v>63</v>
      </c>
      <c r="C20" s="39"/>
      <c r="D20" s="39"/>
      <c r="E20" s="38"/>
      <c r="F20" s="38"/>
      <c r="G20" s="38"/>
      <c r="H20" s="38"/>
      <c r="I20" s="38"/>
      <c r="J20" s="38"/>
      <c r="K20" s="38">
        <v>1</v>
      </c>
      <c r="L20" s="38">
        <v>2321.3000000000002</v>
      </c>
      <c r="M20" s="38"/>
      <c r="N20" s="37"/>
      <c r="O20" s="38"/>
      <c r="P20" s="38"/>
      <c r="Q20" s="38">
        <v>1</v>
      </c>
      <c r="R20" s="38">
        <v>2321.3000000000002</v>
      </c>
      <c r="S20" s="59" t="s">
        <v>64</v>
      </c>
    </row>
    <row r="21" spans="1:19" ht="65.25" customHeight="1" x14ac:dyDescent="0.35">
      <c r="A21" s="55">
        <v>5.2</v>
      </c>
      <c r="B21" s="52" t="s">
        <v>65</v>
      </c>
      <c r="C21" s="39">
        <v>1</v>
      </c>
      <c r="D21" s="39">
        <v>39887.1</v>
      </c>
      <c r="E21" s="38"/>
      <c r="F21" s="38"/>
      <c r="G21" s="38"/>
      <c r="H21" s="38"/>
      <c r="I21" s="38"/>
      <c r="J21" s="38"/>
      <c r="K21" s="38"/>
      <c r="L21" s="38"/>
      <c r="M21" s="38"/>
      <c r="N21" s="37"/>
      <c r="O21" s="38"/>
      <c r="P21" s="38"/>
      <c r="Q21" s="38">
        <v>1</v>
      </c>
      <c r="R21" s="38">
        <v>39887.1</v>
      </c>
      <c r="S21" s="59" t="s">
        <v>66</v>
      </c>
    </row>
    <row r="22" spans="1:19" s="44" customFormat="1" ht="137.65" customHeight="1" x14ac:dyDescent="0.4">
      <c r="A22" s="55">
        <v>5.3</v>
      </c>
      <c r="B22" s="53" t="s">
        <v>67</v>
      </c>
      <c r="C22" s="39"/>
      <c r="D22" s="39"/>
      <c r="E22" s="38"/>
      <c r="F22" s="38"/>
      <c r="G22" s="38"/>
      <c r="H22" s="38"/>
      <c r="I22" s="38"/>
      <c r="J22" s="38"/>
      <c r="K22" s="38"/>
      <c r="L22" s="38"/>
      <c r="M22" s="38"/>
      <c r="N22" s="37"/>
      <c r="O22" s="38">
        <v>2</v>
      </c>
      <c r="P22" s="38">
        <v>33004.6</v>
      </c>
      <c r="Q22" s="38">
        <v>2</v>
      </c>
      <c r="R22" s="38">
        <v>33004.6</v>
      </c>
      <c r="S22" s="59" t="s">
        <v>68</v>
      </c>
    </row>
    <row r="23" spans="1:19" ht="32.25" customHeight="1" x14ac:dyDescent="0.35">
      <c r="A23" s="67">
        <v>6</v>
      </c>
      <c r="B23" s="51" t="s">
        <v>14</v>
      </c>
      <c r="C23" s="27">
        <f>+C24+C25</f>
        <v>0</v>
      </c>
      <c r="D23" s="27">
        <f t="shared" ref="D23:R23" si="7">+D24+D25</f>
        <v>0</v>
      </c>
      <c r="E23" s="27">
        <f t="shared" si="7"/>
        <v>0</v>
      </c>
      <c r="F23" s="27">
        <f t="shared" si="7"/>
        <v>0</v>
      </c>
      <c r="G23" s="27">
        <f t="shared" si="7"/>
        <v>0</v>
      </c>
      <c r="H23" s="27">
        <f t="shared" si="7"/>
        <v>0</v>
      </c>
      <c r="I23" s="27">
        <f t="shared" si="7"/>
        <v>0</v>
      </c>
      <c r="J23" s="27">
        <f t="shared" si="7"/>
        <v>0</v>
      </c>
      <c r="K23" s="27">
        <f t="shared" si="7"/>
        <v>1</v>
      </c>
      <c r="L23" s="27">
        <f t="shared" si="7"/>
        <v>402915.3</v>
      </c>
      <c r="M23" s="27">
        <f t="shared" si="7"/>
        <v>0</v>
      </c>
      <c r="N23" s="27">
        <f t="shared" si="7"/>
        <v>0</v>
      </c>
      <c r="O23" s="27">
        <f t="shared" si="7"/>
        <v>1</v>
      </c>
      <c r="P23" s="27">
        <f t="shared" si="7"/>
        <v>0</v>
      </c>
      <c r="Q23" s="27">
        <f t="shared" si="7"/>
        <v>2</v>
      </c>
      <c r="R23" s="27">
        <f t="shared" si="7"/>
        <v>402915.3</v>
      </c>
      <c r="S23" s="51"/>
    </row>
    <row r="24" spans="1:19" ht="260.64999999999998" customHeight="1" x14ac:dyDescent="0.35">
      <c r="A24" s="55">
        <v>6.1</v>
      </c>
      <c r="B24" s="57" t="s">
        <v>69</v>
      </c>
      <c r="C24" s="39"/>
      <c r="D24" s="39"/>
      <c r="E24" s="38"/>
      <c r="F24" s="38"/>
      <c r="G24" s="38"/>
      <c r="H24" s="38"/>
      <c r="I24" s="38"/>
      <c r="J24" s="38"/>
      <c r="K24" s="38"/>
      <c r="L24" s="38"/>
      <c r="M24" s="38"/>
      <c r="N24" s="37"/>
      <c r="O24" s="38">
        <v>1</v>
      </c>
      <c r="P24" s="38"/>
      <c r="Q24" s="38">
        <v>1</v>
      </c>
      <c r="R24" s="38">
        <v>0</v>
      </c>
      <c r="S24" s="59" t="s">
        <v>70</v>
      </c>
    </row>
    <row r="25" spans="1:19" ht="131.25" customHeight="1" x14ac:dyDescent="0.35">
      <c r="A25" s="55">
        <v>6.2</v>
      </c>
      <c r="B25" s="53" t="s">
        <v>71</v>
      </c>
      <c r="C25" s="39"/>
      <c r="D25" s="39"/>
      <c r="E25" s="37"/>
      <c r="F25" s="37"/>
      <c r="G25" s="37"/>
      <c r="H25" s="37"/>
      <c r="I25" s="37"/>
      <c r="J25" s="37"/>
      <c r="K25" s="41">
        <v>1</v>
      </c>
      <c r="L25" s="41">
        <v>402915.3</v>
      </c>
      <c r="M25" s="37"/>
      <c r="N25" s="37"/>
      <c r="O25" s="38"/>
      <c r="P25" s="38"/>
      <c r="Q25" s="38">
        <v>1</v>
      </c>
      <c r="R25" s="38">
        <v>402915.3</v>
      </c>
      <c r="S25" s="59" t="s">
        <v>72</v>
      </c>
    </row>
    <row r="26" spans="1:19" s="29" customFormat="1" ht="14.45" customHeight="1" x14ac:dyDescent="0.4">
      <c r="A26" s="67">
        <v>7</v>
      </c>
      <c r="B26" s="51" t="s">
        <v>15</v>
      </c>
      <c r="C26" s="28">
        <f>+C27+C28</f>
        <v>0</v>
      </c>
      <c r="D26" s="28">
        <f t="shared" ref="D26:R26" si="8">+D27+D28</f>
        <v>0</v>
      </c>
      <c r="E26" s="28">
        <f t="shared" si="8"/>
        <v>0</v>
      </c>
      <c r="F26" s="28">
        <f t="shared" si="8"/>
        <v>0</v>
      </c>
      <c r="G26" s="28">
        <f t="shared" si="8"/>
        <v>0</v>
      </c>
      <c r="H26" s="28">
        <f t="shared" si="8"/>
        <v>0</v>
      </c>
      <c r="I26" s="28">
        <f t="shared" si="8"/>
        <v>0</v>
      </c>
      <c r="J26" s="28">
        <f t="shared" si="8"/>
        <v>0</v>
      </c>
      <c r="K26" s="28">
        <f t="shared" si="8"/>
        <v>1</v>
      </c>
      <c r="L26" s="28">
        <f t="shared" si="8"/>
        <v>209.6</v>
      </c>
      <c r="M26" s="28">
        <f t="shared" si="8"/>
        <v>0</v>
      </c>
      <c r="N26" s="28">
        <f t="shared" si="8"/>
        <v>0</v>
      </c>
      <c r="O26" s="28">
        <f t="shared" si="8"/>
        <v>1</v>
      </c>
      <c r="P26" s="28">
        <f t="shared" si="8"/>
        <v>0</v>
      </c>
      <c r="Q26" s="28">
        <f t="shared" si="8"/>
        <v>2</v>
      </c>
      <c r="R26" s="28">
        <f t="shared" si="8"/>
        <v>209.6</v>
      </c>
      <c r="S26" s="60"/>
    </row>
    <row r="27" spans="1:19" ht="38.25" x14ac:dyDescent="0.35">
      <c r="A27" s="55">
        <v>7.1</v>
      </c>
      <c r="B27" s="52" t="s">
        <v>73</v>
      </c>
      <c r="C27" s="39"/>
      <c r="D27" s="39"/>
      <c r="E27" s="37"/>
      <c r="F27" s="37"/>
      <c r="G27" s="37"/>
      <c r="H27" s="37"/>
      <c r="I27" s="37"/>
      <c r="J27" s="37"/>
      <c r="K27" s="41">
        <v>1</v>
      </c>
      <c r="L27" s="41">
        <v>209.6</v>
      </c>
      <c r="M27" s="37"/>
      <c r="N27" s="37"/>
      <c r="O27" s="38"/>
      <c r="P27" s="38"/>
      <c r="Q27" s="38">
        <v>1</v>
      </c>
      <c r="R27" s="38">
        <v>209.6</v>
      </c>
      <c r="S27" s="59" t="s">
        <v>74</v>
      </c>
    </row>
    <row r="28" spans="1:19" ht="182.65" customHeight="1" x14ac:dyDescent="0.35">
      <c r="A28" s="55">
        <v>7.2</v>
      </c>
      <c r="B28" s="52" t="s">
        <v>75</v>
      </c>
      <c r="C28" s="42"/>
      <c r="D28" s="42"/>
      <c r="E28" s="43"/>
      <c r="F28" s="37"/>
      <c r="G28" s="37"/>
      <c r="H28" s="37"/>
      <c r="I28" s="37"/>
      <c r="J28" s="37"/>
      <c r="K28" s="37"/>
      <c r="L28" s="37"/>
      <c r="M28" s="37"/>
      <c r="N28" s="37"/>
      <c r="O28" s="38">
        <v>1</v>
      </c>
      <c r="P28" s="38"/>
      <c r="Q28" s="38">
        <v>1</v>
      </c>
      <c r="R28" s="38">
        <v>0</v>
      </c>
      <c r="S28" s="59" t="s">
        <v>76</v>
      </c>
    </row>
    <row r="29" spans="1:19" s="29" customFormat="1" ht="14.45" customHeight="1" x14ac:dyDescent="0.4">
      <c r="A29" s="67">
        <v>8</v>
      </c>
      <c r="B29" s="51" t="s">
        <v>16</v>
      </c>
      <c r="C29" s="28">
        <f>+C30+C31</f>
        <v>1</v>
      </c>
      <c r="D29" s="28">
        <f t="shared" ref="D29:R29" si="9">+D30+D31</f>
        <v>5862.9</v>
      </c>
      <c r="E29" s="28">
        <f t="shared" si="9"/>
        <v>0</v>
      </c>
      <c r="F29" s="28">
        <f t="shared" si="9"/>
        <v>0</v>
      </c>
      <c r="G29" s="28">
        <f t="shared" si="9"/>
        <v>0</v>
      </c>
      <c r="H29" s="28">
        <f t="shared" si="9"/>
        <v>0</v>
      </c>
      <c r="I29" s="28">
        <f t="shared" si="9"/>
        <v>0</v>
      </c>
      <c r="J29" s="28">
        <f t="shared" si="9"/>
        <v>0</v>
      </c>
      <c r="K29" s="28">
        <f t="shared" si="9"/>
        <v>0</v>
      </c>
      <c r="L29" s="28">
        <f t="shared" si="9"/>
        <v>0</v>
      </c>
      <c r="M29" s="28">
        <f t="shared" si="9"/>
        <v>0</v>
      </c>
      <c r="N29" s="28">
        <f t="shared" si="9"/>
        <v>0</v>
      </c>
      <c r="O29" s="28">
        <f t="shared" si="9"/>
        <v>2</v>
      </c>
      <c r="P29" s="28">
        <f t="shared" si="9"/>
        <v>18632.5</v>
      </c>
      <c r="Q29" s="28">
        <f t="shared" si="9"/>
        <v>3</v>
      </c>
      <c r="R29" s="28">
        <f t="shared" si="9"/>
        <v>24495.4</v>
      </c>
      <c r="S29" s="60"/>
    </row>
    <row r="30" spans="1:19" ht="64.150000000000006" customHeight="1" x14ac:dyDescent="0.35">
      <c r="A30" s="55">
        <v>8.1</v>
      </c>
      <c r="B30" s="52" t="s">
        <v>77</v>
      </c>
      <c r="C30" s="39">
        <v>1</v>
      </c>
      <c r="D30" s="39">
        <v>5862.9</v>
      </c>
      <c r="E30" s="37"/>
      <c r="F30" s="37"/>
      <c r="G30" s="37"/>
      <c r="H30" s="37"/>
      <c r="I30" s="37"/>
      <c r="J30" s="37"/>
      <c r="K30" s="37"/>
      <c r="L30" s="37"/>
      <c r="M30" s="37"/>
      <c r="N30" s="37"/>
      <c r="O30" s="38"/>
      <c r="P30" s="38"/>
      <c r="Q30" s="38">
        <v>1</v>
      </c>
      <c r="R30" s="38">
        <v>5862.9</v>
      </c>
      <c r="S30" s="59" t="s">
        <v>78</v>
      </c>
    </row>
    <row r="31" spans="1:19" ht="131.25" customHeight="1" x14ac:dyDescent="0.35">
      <c r="A31" s="55">
        <v>8.1999999999999993</v>
      </c>
      <c r="B31" s="57" t="s">
        <v>79</v>
      </c>
      <c r="C31" s="45"/>
      <c r="D31" s="45"/>
      <c r="E31" s="38"/>
      <c r="F31" s="38"/>
      <c r="G31" s="38"/>
      <c r="H31" s="37"/>
      <c r="I31" s="37"/>
      <c r="J31" s="37"/>
      <c r="K31" s="37"/>
      <c r="L31" s="37"/>
      <c r="M31" s="37"/>
      <c r="N31" s="37"/>
      <c r="O31" s="38">
        <v>2</v>
      </c>
      <c r="P31" s="38">
        <v>18632.5</v>
      </c>
      <c r="Q31" s="38">
        <v>2</v>
      </c>
      <c r="R31" s="38">
        <v>18632.5</v>
      </c>
      <c r="S31" s="59" t="s">
        <v>80</v>
      </c>
    </row>
    <row r="32" spans="1:19" s="29" customFormat="1" ht="14.45" customHeight="1" x14ac:dyDescent="0.4">
      <c r="A32" s="67">
        <v>9</v>
      </c>
      <c r="B32" s="51" t="s">
        <v>18</v>
      </c>
      <c r="C32" s="28">
        <f>+C33+C34</f>
        <v>0</v>
      </c>
      <c r="D32" s="28">
        <f>+D33+D34</f>
        <v>0</v>
      </c>
      <c r="E32" s="28">
        <f t="shared" ref="E32:R32" si="10">+E33+E34</f>
        <v>0</v>
      </c>
      <c r="F32" s="28">
        <f t="shared" si="10"/>
        <v>0</v>
      </c>
      <c r="G32" s="28">
        <f t="shared" si="10"/>
        <v>0</v>
      </c>
      <c r="H32" s="28">
        <f t="shared" si="10"/>
        <v>0</v>
      </c>
      <c r="I32" s="28">
        <f t="shared" si="10"/>
        <v>0</v>
      </c>
      <c r="J32" s="28">
        <f t="shared" si="10"/>
        <v>0</v>
      </c>
      <c r="K32" s="28">
        <f t="shared" si="10"/>
        <v>0</v>
      </c>
      <c r="L32" s="28">
        <f t="shared" si="10"/>
        <v>0</v>
      </c>
      <c r="M32" s="28">
        <f t="shared" si="10"/>
        <v>1</v>
      </c>
      <c r="N32" s="28">
        <f t="shared" si="10"/>
        <v>6267.8</v>
      </c>
      <c r="O32" s="28">
        <f t="shared" si="10"/>
        <v>2</v>
      </c>
      <c r="P32" s="28">
        <f t="shared" si="10"/>
        <v>12790.1</v>
      </c>
      <c r="Q32" s="28">
        <f t="shared" si="10"/>
        <v>3</v>
      </c>
      <c r="R32" s="28">
        <f t="shared" si="10"/>
        <v>19057.900000000001</v>
      </c>
      <c r="S32" s="60"/>
    </row>
    <row r="33" spans="1:19" ht="84.75" customHeight="1" x14ac:dyDescent="0.4">
      <c r="A33" s="55">
        <v>9.1</v>
      </c>
      <c r="B33" s="52" t="s">
        <v>81</v>
      </c>
      <c r="C33" s="46"/>
      <c r="D33" s="46"/>
      <c r="E33" s="47"/>
      <c r="F33" s="47"/>
      <c r="G33" s="47"/>
      <c r="H33" s="47"/>
      <c r="I33" s="47"/>
      <c r="J33" s="47"/>
      <c r="K33" s="47"/>
      <c r="L33" s="47"/>
      <c r="M33" s="43">
        <v>1</v>
      </c>
      <c r="N33" s="43">
        <v>6267.8</v>
      </c>
      <c r="O33" s="48"/>
      <c r="P33" s="48"/>
      <c r="Q33" s="43">
        <v>1</v>
      </c>
      <c r="R33" s="43">
        <f>+N33</f>
        <v>6267.8</v>
      </c>
      <c r="S33" s="59" t="s">
        <v>82</v>
      </c>
    </row>
    <row r="34" spans="1:19" ht="96" customHeight="1" x14ac:dyDescent="0.35">
      <c r="A34" s="55">
        <v>9.1999999999999993</v>
      </c>
      <c r="B34" s="52" t="s">
        <v>83</v>
      </c>
      <c r="C34" s="42"/>
      <c r="D34" s="42"/>
      <c r="E34" s="37"/>
      <c r="F34" s="37"/>
      <c r="G34" s="37"/>
      <c r="H34" s="37"/>
      <c r="I34" s="37"/>
      <c r="J34" s="37"/>
      <c r="K34" s="37"/>
      <c r="L34" s="37"/>
      <c r="M34" s="37"/>
      <c r="N34" s="37"/>
      <c r="O34" s="38">
        <v>2</v>
      </c>
      <c r="P34" s="38">
        <v>12790.1</v>
      </c>
      <c r="Q34" s="38">
        <v>2</v>
      </c>
      <c r="R34" s="38">
        <v>12790.1</v>
      </c>
      <c r="S34" s="59" t="s">
        <v>84</v>
      </c>
    </row>
    <row r="35" spans="1:19" ht="19.149999999999999" customHeight="1" x14ac:dyDescent="0.4">
      <c r="A35" s="67">
        <v>10</v>
      </c>
      <c r="B35" s="50" t="s">
        <v>21</v>
      </c>
      <c r="C35" s="28">
        <f>+C36+C37</f>
        <v>0</v>
      </c>
      <c r="D35" s="28">
        <f>+D36+D37</f>
        <v>0</v>
      </c>
      <c r="E35" s="28">
        <f t="shared" ref="E35:R35" si="11">+E36+E37</f>
        <v>0</v>
      </c>
      <c r="F35" s="28">
        <f t="shared" si="11"/>
        <v>0</v>
      </c>
      <c r="G35" s="28">
        <f t="shared" si="11"/>
        <v>0</v>
      </c>
      <c r="H35" s="28">
        <f t="shared" si="11"/>
        <v>0</v>
      </c>
      <c r="I35" s="28">
        <f t="shared" si="11"/>
        <v>0</v>
      </c>
      <c r="J35" s="28">
        <f t="shared" si="11"/>
        <v>0</v>
      </c>
      <c r="K35" s="28">
        <f t="shared" si="11"/>
        <v>1</v>
      </c>
      <c r="L35" s="28">
        <f t="shared" si="11"/>
        <v>46.5</v>
      </c>
      <c r="M35" s="28">
        <f t="shared" si="11"/>
        <v>1</v>
      </c>
      <c r="N35" s="28">
        <f t="shared" si="11"/>
        <v>795.1</v>
      </c>
      <c r="O35" s="28">
        <f t="shared" si="11"/>
        <v>2</v>
      </c>
      <c r="P35" s="28">
        <f t="shared" si="11"/>
        <v>169.6</v>
      </c>
      <c r="Q35" s="28">
        <f t="shared" si="11"/>
        <v>4</v>
      </c>
      <c r="R35" s="28">
        <f t="shared" si="11"/>
        <v>1011.2</v>
      </c>
      <c r="S35" s="60"/>
    </row>
    <row r="36" spans="1:19" s="44" customFormat="1" ht="238.5" customHeight="1" x14ac:dyDescent="0.4">
      <c r="A36" s="55">
        <v>10.1</v>
      </c>
      <c r="B36" s="53" t="s">
        <v>85</v>
      </c>
      <c r="C36" s="39"/>
      <c r="D36" s="39"/>
      <c r="E36" s="37"/>
      <c r="F36" s="37"/>
      <c r="G36" s="37"/>
      <c r="H36" s="37"/>
      <c r="I36" s="37"/>
      <c r="J36" s="37"/>
      <c r="K36" s="39">
        <v>1</v>
      </c>
      <c r="L36" s="39">
        <v>46.5</v>
      </c>
      <c r="M36" s="38">
        <v>1</v>
      </c>
      <c r="N36" s="38">
        <v>795.1</v>
      </c>
      <c r="O36" s="38"/>
      <c r="P36" s="38"/>
      <c r="Q36" s="38">
        <v>2</v>
      </c>
      <c r="R36" s="38">
        <v>841.6</v>
      </c>
      <c r="S36" s="59" t="s">
        <v>86</v>
      </c>
    </row>
    <row r="37" spans="1:19" ht="101.25" customHeight="1" x14ac:dyDescent="0.35">
      <c r="A37" s="55">
        <v>10.199999999999999</v>
      </c>
      <c r="B37" s="57" t="s">
        <v>87</v>
      </c>
      <c r="C37" s="42"/>
      <c r="D37" s="42"/>
      <c r="E37" s="43"/>
      <c r="F37" s="43"/>
      <c r="G37" s="37"/>
      <c r="H37" s="37"/>
      <c r="I37" s="37"/>
      <c r="J37" s="37"/>
      <c r="K37" s="37"/>
      <c r="L37" s="37"/>
      <c r="M37" s="37"/>
      <c r="N37" s="37"/>
      <c r="O37" s="38">
        <v>2</v>
      </c>
      <c r="P37" s="38">
        <v>169.6</v>
      </c>
      <c r="Q37" s="38">
        <v>2</v>
      </c>
      <c r="R37" s="38">
        <v>169.6</v>
      </c>
      <c r="S37" s="59" t="s">
        <v>88</v>
      </c>
    </row>
    <row r="38" spans="1:19" s="49" customFormat="1" ht="25.9" customHeight="1" x14ac:dyDescent="0.45">
      <c r="A38" s="67">
        <v>11</v>
      </c>
      <c r="B38" s="50" t="s">
        <v>23</v>
      </c>
      <c r="C38" s="27">
        <f>+C39+C40</f>
        <v>0</v>
      </c>
      <c r="D38" s="27">
        <f>+D39+D40</f>
        <v>0</v>
      </c>
      <c r="E38" s="27">
        <f t="shared" ref="E38:R38" si="12">+E39+E40</f>
        <v>0</v>
      </c>
      <c r="F38" s="27">
        <f t="shared" si="12"/>
        <v>0</v>
      </c>
      <c r="G38" s="27">
        <f t="shared" si="12"/>
        <v>0</v>
      </c>
      <c r="H38" s="27">
        <f t="shared" si="12"/>
        <v>0</v>
      </c>
      <c r="I38" s="27">
        <f t="shared" si="12"/>
        <v>0</v>
      </c>
      <c r="J38" s="27">
        <f t="shared" si="12"/>
        <v>0</v>
      </c>
      <c r="K38" s="27">
        <f t="shared" si="12"/>
        <v>1</v>
      </c>
      <c r="L38" s="27">
        <f t="shared" si="12"/>
        <v>1.6</v>
      </c>
      <c r="M38" s="27">
        <f t="shared" si="12"/>
        <v>0</v>
      </c>
      <c r="N38" s="27">
        <f t="shared" si="12"/>
        <v>0</v>
      </c>
      <c r="O38" s="27">
        <f t="shared" si="12"/>
        <v>2</v>
      </c>
      <c r="P38" s="27">
        <f t="shared" si="12"/>
        <v>46631.199999999997</v>
      </c>
      <c r="Q38" s="27">
        <f t="shared" si="12"/>
        <v>3</v>
      </c>
      <c r="R38" s="61">
        <f t="shared" si="12"/>
        <v>46632.799999999996</v>
      </c>
      <c r="S38" s="60"/>
    </row>
    <row r="39" spans="1:19" ht="48.75" customHeight="1" x14ac:dyDescent="0.35">
      <c r="A39" s="55">
        <v>11.1</v>
      </c>
      <c r="B39" s="53" t="s">
        <v>114</v>
      </c>
      <c r="C39" s="39"/>
      <c r="D39" s="39"/>
      <c r="E39" s="37"/>
      <c r="F39" s="37"/>
      <c r="G39" s="37"/>
      <c r="H39" s="37"/>
      <c r="I39" s="37"/>
      <c r="J39" s="37"/>
      <c r="K39" s="41">
        <v>1</v>
      </c>
      <c r="L39" s="41">
        <v>1.6</v>
      </c>
      <c r="M39" s="37"/>
      <c r="N39" s="37"/>
      <c r="O39" s="38"/>
      <c r="P39" s="38"/>
      <c r="Q39" s="38">
        <v>1</v>
      </c>
      <c r="R39" s="62">
        <v>1.6</v>
      </c>
      <c r="S39" s="59" t="s">
        <v>115</v>
      </c>
    </row>
    <row r="40" spans="1:19" ht="100.9" customHeight="1" x14ac:dyDescent="0.35">
      <c r="A40" s="55">
        <v>11.2</v>
      </c>
      <c r="B40" s="53" t="s">
        <v>89</v>
      </c>
      <c r="C40" s="39"/>
      <c r="D40" s="39"/>
      <c r="E40" s="37"/>
      <c r="F40" s="37"/>
      <c r="G40" s="37"/>
      <c r="H40" s="37"/>
      <c r="I40" s="37"/>
      <c r="J40" s="37"/>
      <c r="K40" s="37"/>
      <c r="L40" s="37"/>
      <c r="M40" s="37"/>
      <c r="N40" s="37"/>
      <c r="O40" s="38">
        <v>2</v>
      </c>
      <c r="P40" s="38">
        <v>46631.199999999997</v>
      </c>
      <c r="Q40" s="38">
        <v>2</v>
      </c>
      <c r="R40" s="62">
        <v>46631.199999999997</v>
      </c>
      <c r="S40" s="59" t="s">
        <v>90</v>
      </c>
    </row>
    <row r="41" spans="1:19" s="49" customFormat="1" ht="22.15" customHeight="1" x14ac:dyDescent="0.45">
      <c r="A41" s="67">
        <v>12</v>
      </c>
      <c r="B41" s="50" t="s">
        <v>25</v>
      </c>
      <c r="C41" s="27">
        <f>+C42+C43+C44</f>
        <v>0</v>
      </c>
      <c r="D41" s="27">
        <f>+D42+D43+D44</f>
        <v>0</v>
      </c>
      <c r="E41" s="27">
        <f t="shared" ref="E41:R41" si="13">+E42+E43+E44</f>
        <v>0</v>
      </c>
      <c r="F41" s="27">
        <f t="shared" si="13"/>
        <v>0</v>
      </c>
      <c r="G41" s="27">
        <f t="shared" si="13"/>
        <v>0</v>
      </c>
      <c r="H41" s="27">
        <f t="shared" si="13"/>
        <v>0</v>
      </c>
      <c r="I41" s="27">
        <f t="shared" si="13"/>
        <v>0</v>
      </c>
      <c r="J41" s="27">
        <f t="shared" si="13"/>
        <v>0</v>
      </c>
      <c r="K41" s="27">
        <f t="shared" si="13"/>
        <v>1</v>
      </c>
      <c r="L41" s="27">
        <f t="shared" si="13"/>
        <v>174.7</v>
      </c>
      <c r="M41" s="27">
        <f t="shared" si="13"/>
        <v>1</v>
      </c>
      <c r="N41" s="27">
        <f t="shared" si="13"/>
        <v>2474</v>
      </c>
      <c r="O41" s="27">
        <f t="shared" si="13"/>
        <v>2</v>
      </c>
      <c r="P41" s="27">
        <f t="shared" si="13"/>
        <v>878.4</v>
      </c>
      <c r="Q41" s="27">
        <f t="shared" si="13"/>
        <v>4</v>
      </c>
      <c r="R41" s="27">
        <f t="shared" si="13"/>
        <v>3527.1</v>
      </c>
      <c r="S41" s="60"/>
    </row>
    <row r="42" spans="1:19" ht="68.650000000000006" customHeight="1" x14ac:dyDescent="0.35">
      <c r="A42" s="55">
        <v>12.1</v>
      </c>
      <c r="B42" s="53" t="s">
        <v>91</v>
      </c>
      <c r="C42" s="39"/>
      <c r="D42" s="39"/>
      <c r="E42" s="37"/>
      <c r="F42" s="37"/>
      <c r="G42" s="37"/>
      <c r="H42" s="37"/>
      <c r="I42" s="37"/>
      <c r="J42" s="37"/>
      <c r="K42" s="41">
        <v>1</v>
      </c>
      <c r="L42" s="41">
        <v>174.7</v>
      </c>
      <c r="M42" s="37"/>
      <c r="N42" s="37"/>
      <c r="O42" s="38"/>
      <c r="P42" s="38"/>
      <c r="Q42" s="38">
        <v>1</v>
      </c>
      <c r="R42" s="38">
        <v>174.7</v>
      </c>
      <c r="S42" s="59" t="s">
        <v>92</v>
      </c>
    </row>
    <row r="43" spans="1:19" ht="126.4" customHeight="1" x14ac:dyDescent="0.35">
      <c r="A43" s="55">
        <v>12.2</v>
      </c>
      <c r="B43" s="53" t="s">
        <v>93</v>
      </c>
      <c r="C43" s="45"/>
      <c r="D43" s="45"/>
      <c r="E43" s="37"/>
      <c r="F43" s="37"/>
      <c r="G43" s="37"/>
      <c r="H43" s="37"/>
      <c r="I43" s="37"/>
      <c r="J43" s="37"/>
      <c r="K43" s="38"/>
      <c r="L43" s="38"/>
      <c r="M43" s="36">
        <v>1</v>
      </c>
      <c r="N43" s="36">
        <v>2474</v>
      </c>
      <c r="O43" s="38"/>
      <c r="P43" s="38"/>
      <c r="Q43" s="38">
        <v>1</v>
      </c>
      <c r="R43" s="38">
        <v>2474</v>
      </c>
      <c r="S43" s="59" t="s">
        <v>94</v>
      </c>
    </row>
    <row r="44" spans="1:19" s="44" customFormat="1" ht="115.5" customHeight="1" x14ac:dyDescent="0.4">
      <c r="A44" s="55">
        <v>12.3</v>
      </c>
      <c r="B44" s="53" t="s">
        <v>95</v>
      </c>
      <c r="C44" s="39"/>
      <c r="D44" s="39"/>
      <c r="E44" s="38"/>
      <c r="F44" s="37"/>
      <c r="G44" s="37"/>
      <c r="H44" s="37"/>
      <c r="I44" s="37"/>
      <c r="J44" s="37"/>
      <c r="K44" s="37"/>
      <c r="L44" s="37"/>
      <c r="M44" s="37"/>
      <c r="N44" s="37"/>
      <c r="O44" s="38">
        <v>2</v>
      </c>
      <c r="P44" s="38">
        <v>878.4</v>
      </c>
      <c r="Q44" s="38">
        <v>2</v>
      </c>
      <c r="R44" s="38">
        <v>878.4</v>
      </c>
      <c r="S44" s="63" t="s">
        <v>96</v>
      </c>
    </row>
    <row r="45" spans="1:19" ht="18" customHeight="1" x14ac:dyDescent="0.35">
      <c r="A45" s="67">
        <v>13</v>
      </c>
      <c r="B45" s="50" t="s">
        <v>27</v>
      </c>
      <c r="C45" s="27">
        <f>+C46+C47</f>
        <v>1</v>
      </c>
      <c r="D45" s="27">
        <f>+D46+D47</f>
        <v>51.6</v>
      </c>
      <c r="E45" s="27">
        <f t="shared" ref="E45:R45" si="14">+E46+E47</f>
        <v>1</v>
      </c>
      <c r="F45" s="27">
        <f t="shared" si="14"/>
        <v>500</v>
      </c>
      <c r="G45" s="27">
        <f t="shared" si="14"/>
        <v>0</v>
      </c>
      <c r="H45" s="27">
        <f t="shared" si="14"/>
        <v>0</v>
      </c>
      <c r="I45" s="27">
        <f t="shared" si="14"/>
        <v>0</v>
      </c>
      <c r="J45" s="27">
        <f t="shared" si="14"/>
        <v>0</v>
      </c>
      <c r="K45" s="27">
        <f t="shared" si="14"/>
        <v>1</v>
      </c>
      <c r="L45" s="27">
        <f t="shared" si="14"/>
        <v>0.3</v>
      </c>
      <c r="M45" s="27">
        <f t="shared" si="14"/>
        <v>1</v>
      </c>
      <c r="N45" s="27">
        <f t="shared" si="14"/>
        <v>1697.7</v>
      </c>
      <c r="O45" s="27">
        <f t="shared" si="14"/>
        <v>2</v>
      </c>
      <c r="P45" s="27">
        <f t="shared" si="14"/>
        <v>3413.6</v>
      </c>
      <c r="Q45" s="27">
        <f t="shared" si="14"/>
        <v>6</v>
      </c>
      <c r="R45" s="27">
        <f t="shared" si="14"/>
        <v>5663.2</v>
      </c>
      <c r="S45" s="58"/>
    </row>
    <row r="46" spans="1:19" ht="89.25" customHeight="1" x14ac:dyDescent="0.35">
      <c r="A46" s="55">
        <v>13.1</v>
      </c>
      <c r="B46" s="52" t="s">
        <v>97</v>
      </c>
      <c r="C46" s="39">
        <v>1</v>
      </c>
      <c r="D46" s="39">
        <v>51.6</v>
      </c>
      <c r="E46" s="38">
        <v>1</v>
      </c>
      <c r="F46" s="38">
        <v>500</v>
      </c>
      <c r="G46" s="37"/>
      <c r="H46" s="37"/>
      <c r="I46" s="37"/>
      <c r="J46" s="37"/>
      <c r="K46" s="38">
        <v>1</v>
      </c>
      <c r="L46" s="38">
        <v>0.3</v>
      </c>
      <c r="M46" s="39">
        <v>1</v>
      </c>
      <c r="N46" s="38">
        <v>1697.7</v>
      </c>
      <c r="O46" s="38"/>
      <c r="P46" s="38"/>
      <c r="Q46" s="38">
        <v>4</v>
      </c>
      <c r="R46" s="38">
        <v>2249.6</v>
      </c>
      <c r="S46" s="52" t="s">
        <v>98</v>
      </c>
    </row>
    <row r="47" spans="1:19" ht="132.75" customHeight="1" x14ac:dyDescent="0.35">
      <c r="A47" s="55">
        <v>13.2</v>
      </c>
      <c r="B47" s="57" t="s">
        <v>99</v>
      </c>
      <c r="C47" s="45"/>
      <c r="D47" s="42"/>
      <c r="E47" s="43"/>
      <c r="F47" s="43"/>
      <c r="G47" s="37"/>
      <c r="H47" s="37"/>
      <c r="I47" s="37"/>
      <c r="J47" s="37"/>
      <c r="K47" s="37"/>
      <c r="L47" s="37"/>
      <c r="M47" s="38"/>
      <c r="N47" s="38"/>
      <c r="O47" s="38">
        <v>2</v>
      </c>
      <c r="P47" s="38">
        <v>3413.6</v>
      </c>
      <c r="Q47" s="38">
        <v>2</v>
      </c>
      <c r="R47" s="38">
        <v>3413.6</v>
      </c>
      <c r="S47" s="52" t="s">
        <v>100</v>
      </c>
    </row>
    <row r="48" spans="1:19" s="49" customFormat="1" ht="24.4" customHeight="1" x14ac:dyDescent="0.4">
      <c r="A48" s="67">
        <v>14</v>
      </c>
      <c r="B48" s="50" t="s">
        <v>28</v>
      </c>
      <c r="C48" s="28">
        <f>+C49</f>
        <v>0</v>
      </c>
      <c r="D48" s="28">
        <f t="shared" ref="D48:R48" si="15">+D49</f>
        <v>0</v>
      </c>
      <c r="E48" s="28">
        <f t="shared" si="15"/>
        <v>0</v>
      </c>
      <c r="F48" s="28">
        <f t="shared" si="15"/>
        <v>0</v>
      </c>
      <c r="G48" s="28">
        <f t="shared" si="15"/>
        <v>0</v>
      </c>
      <c r="H48" s="28">
        <f t="shared" si="15"/>
        <v>0</v>
      </c>
      <c r="I48" s="28">
        <f t="shared" si="15"/>
        <v>0</v>
      </c>
      <c r="J48" s="28">
        <f t="shared" si="15"/>
        <v>0</v>
      </c>
      <c r="K48" s="28">
        <f t="shared" si="15"/>
        <v>0</v>
      </c>
      <c r="L48" s="28">
        <f t="shared" si="15"/>
        <v>0</v>
      </c>
      <c r="M48" s="28">
        <f t="shared" si="15"/>
        <v>0</v>
      </c>
      <c r="N48" s="28">
        <f t="shared" si="15"/>
        <v>0</v>
      </c>
      <c r="O48" s="28">
        <f t="shared" si="15"/>
        <v>2</v>
      </c>
      <c r="P48" s="28">
        <f t="shared" si="15"/>
        <v>4608.1000000000004</v>
      </c>
      <c r="Q48" s="28">
        <f t="shared" si="15"/>
        <v>2</v>
      </c>
      <c r="R48" s="28">
        <f t="shared" si="15"/>
        <v>4608.1000000000004</v>
      </c>
      <c r="S48" s="60"/>
    </row>
    <row r="49" spans="1:19" ht="204.75" customHeight="1" x14ac:dyDescent="0.35">
      <c r="A49" s="55">
        <v>14.1</v>
      </c>
      <c r="B49" s="53" t="s">
        <v>101</v>
      </c>
      <c r="C49" s="39"/>
      <c r="D49" s="39"/>
      <c r="E49" s="38"/>
      <c r="F49" s="37"/>
      <c r="G49" s="37"/>
      <c r="H49" s="37"/>
      <c r="I49" s="37"/>
      <c r="J49" s="37"/>
      <c r="K49" s="37"/>
      <c r="L49" s="37"/>
      <c r="M49" s="37"/>
      <c r="N49" s="37"/>
      <c r="O49" s="38">
        <v>2</v>
      </c>
      <c r="P49" s="38">
        <v>4608.1000000000004</v>
      </c>
      <c r="Q49" s="38">
        <v>2</v>
      </c>
      <c r="R49" s="38">
        <v>4608.1000000000004</v>
      </c>
      <c r="S49" s="59" t="s">
        <v>102</v>
      </c>
    </row>
    <row r="50" spans="1:19" ht="19.149999999999999" customHeight="1" x14ac:dyDescent="0.4">
      <c r="A50" s="67">
        <v>15</v>
      </c>
      <c r="B50" s="50" t="s">
        <v>30</v>
      </c>
      <c r="C50" s="28">
        <f>+C51</f>
        <v>0</v>
      </c>
      <c r="D50" s="28">
        <f t="shared" ref="D50:R50" si="16">+D51</f>
        <v>0</v>
      </c>
      <c r="E50" s="28">
        <f t="shared" si="16"/>
        <v>0</v>
      </c>
      <c r="F50" s="28">
        <f t="shared" si="16"/>
        <v>0</v>
      </c>
      <c r="G50" s="28">
        <f t="shared" si="16"/>
        <v>0</v>
      </c>
      <c r="H50" s="28">
        <f t="shared" si="16"/>
        <v>0</v>
      </c>
      <c r="I50" s="28">
        <f t="shared" si="16"/>
        <v>0</v>
      </c>
      <c r="J50" s="28">
        <f t="shared" si="16"/>
        <v>0</v>
      </c>
      <c r="K50" s="28">
        <f t="shared" si="16"/>
        <v>0</v>
      </c>
      <c r="L50" s="28">
        <f t="shared" si="16"/>
        <v>0</v>
      </c>
      <c r="M50" s="28">
        <f t="shared" si="16"/>
        <v>0</v>
      </c>
      <c r="N50" s="28">
        <f t="shared" si="16"/>
        <v>0</v>
      </c>
      <c r="O50" s="28">
        <f t="shared" si="16"/>
        <v>2</v>
      </c>
      <c r="P50" s="28">
        <f t="shared" si="16"/>
        <v>296.3</v>
      </c>
      <c r="Q50" s="28">
        <f t="shared" si="16"/>
        <v>2</v>
      </c>
      <c r="R50" s="28">
        <f t="shared" si="16"/>
        <v>296.3</v>
      </c>
      <c r="S50" s="58"/>
    </row>
    <row r="51" spans="1:19" ht="126" customHeight="1" x14ac:dyDescent="0.35">
      <c r="A51" s="55">
        <v>15.1</v>
      </c>
      <c r="B51" s="53" t="s">
        <v>103</v>
      </c>
      <c r="C51" s="45"/>
      <c r="D51" s="39"/>
      <c r="E51" s="38"/>
      <c r="F51" s="38"/>
      <c r="G51" s="38"/>
      <c r="H51" s="37"/>
      <c r="I51" s="37"/>
      <c r="J51" s="37"/>
      <c r="K51" s="37"/>
      <c r="L51" s="37"/>
      <c r="M51" s="37"/>
      <c r="N51" s="37"/>
      <c r="O51" s="38">
        <v>2</v>
      </c>
      <c r="P51" s="38">
        <v>296.3</v>
      </c>
      <c r="Q51" s="38">
        <v>2</v>
      </c>
      <c r="R51" s="38">
        <v>296.3</v>
      </c>
      <c r="S51" s="59" t="s">
        <v>104</v>
      </c>
    </row>
    <row r="52" spans="1:19" s="29" customFormat="1" ht="31.9" customHeight="1" x14ac:dyDescent="0.4">
      <c r="A52" s="67">
        <v>16</v>
      </c>
      <c r="B52" s="50" t="s">
        <v>31</v>
      </c>
      <c r="C52" s="27">
        <f>+C53+C54</f>
        <v>0</v>
      </c>
      <c r="D52" s="27">
        <f t="shared" ref="D52:R52" si="17">+D53+D54</f>
        <v>0</v>
      </c>
      <c r="E52" s="27">
        <f t="shared" si="17"/>
        <v>0</v>
      </c>
      <c r="F52" s="27">
        <f t="shared" si="17"/>
        <v>0</v>
      </c>
      <c r="G52" s="27">
        <f t="shared" si="17"/>
        <v>0</v>
      </c>
      <c r="H52" s="27">
        <f t="shared" si="17"/>
        <v>0</v>
      </c>
      <c r="I52" s="27">
        <f t="shared" si="17"/>
        <v>0</v>
      </c>
      <c r="J52" s="27">
        <f t="shared" si="17"/>
        <v>0</v>
      </c>
      <c r="K52" s="27">
        <f t="shared" si="17"/>
        <v>1</v>
      </c>
      <c r="L52" s="27">
        <f t="shared" si="17"/>
        <v>16.2</v>
      </c>
      <c r="M52" s="27">
        <f t="shared" si="17"/>
        <v>0</v>
      </c>
      <c r="N52" s="27">
        <f t="shared" si="17"/>
        <v>0</v>
      </c>
      <c r="O52" s="27">
        <f t="shared" si="17"/>
        <v>2</v>
      </c>
      <c r="P52" s="27">
        <f t="shared" si="17"/>
        <v>38.1</v>
      </c>
      <c r="Q52" s="27">
        <f t="shared" si="17"/>
        <v>3</v>
      </c>
      <c r="R52" s="27">
        <f t="shared" si="17"/>
        <v>54.3</v>
      </c>
      <c r="S52" s="60"/>
    </row>
    <row r="53" spans="1:19" ht="66.75" customHeight="1" x14ac:dyDescent="0.35">
      <c r="A53" s="55">
        <v>16.100000000000001</v>
      </c>
      <c r="B53" s="54" t="s">
        <v>105</v>
      </c>
      <c r="C53" s="39"/>
      <c r="D53" s="39"/>
      <c r="E53" s="37"/>
      <c r="F53" s="37"/>
      <c r="G53" s="37"/>
      <c r="H53" s="37"/>
      <c r="I53" s="37"/>
      <c r="J53" s="37"/>
      <c r="K53" s="37">
        <v>1</v>
      </c>
      <c r="L53" s="37">
        <v>16.2</v>
      </c>
      <c r="M53" s="37"/>
      <c r="N53" s="37"/>
      <c r="O53" s="38"/>
      <c r="P53" s="38"/>
      <c r="Q53" s="38">
        <v>1</v>
      </c>
      <c r="R53" s="38">
        <v>16.2</v>
      </c>
      <c r="S53" s="52" t="s">
        <v>106</v>
      </c>
    </row>
    <row r="54" spans="1:19" s="44" customFormat="1" ht="116.25" customHeight="1" x14ac:dyDescent="0.4">
      <c r="A54" s="55">
        <v>16.2</v>
      </c>
      <c r="B54" s="54" t="s">
        <v>107</v>
      </c>
      <c r="C54" s="39"/>
      <c r="D54" s="39"/>
      <c r="E54" s="38"/>
      <c r="F54" s="37"/>
      <c r="G54" s="37"/>
      <c r="H54" s="37"/>
      <c r="I54" s="37"/>
      <c r="J54" s="37"/>
      <c r="K54" s="37"/>
      <c r="L54" s="37"/>
      <c r="M54" s="37"/>
      <c r="N54" s="37"/>
      <c r="O54" s="38">
        <v>2</v>
      </c>
      <c r="P54" s="38">
        <v>38.1</v>
      </c>
      <c r="Q54" s="38">
        <v>2</v>
      </c>
      <c r="R54" s="38">
        <v>38.1</v>
      </c>
      <c r="S54" s="52" t="s">
        <v>108</v>
      </c>
    </row>
    <row r="55" spans="1:19" s="22" customFormat="1" ht="22.9" customHeight="1" x14ac:dyDescent="0.45">
      <c r="A55" s="73" t="s">
        <v>109</v>
      </c>
      <c r="B55" s="73"/>
      <c r="C55" s="26">
        <f t="shared" ref="C55:R55" si="18">+C52+C50+C48+C45+C41+C38+C35+C32+C29+C26+C23+C19+C17+C14+C11+C6</f>
        <v>4</v>
      </c>
      <c r="D55" s="26">
        <f t="shared" si="18"/>
        <v>222385.6</v>
      </c>
      <c r="E55" s="26">
        <f t="shared" si="18"/>
        <v>1</v>
      </c>
      <c r="F55" s="26">
        <f t="shared" si="18"/>
        <v>500</v>
      </c>
      <c r="G55" s="26">
        <f t="shared" si="18"/>
        <v>0</v>
      </c>
      <c r="H55" s="26">
        <f t="shared" si="18"/>
        <v>0</v>
      </c>
      <c r="I55" s="26">
        <f t="shared" si="18"/>
        <v>0</v>
      </c>
      <c r="J55" s="26">
        <f t="shared" si="18"/>
        <v>0</v>
      </c>
      <c r="K55" s="26">
        <f t="shared" si="18"/>
        <v>12</v>
      </c>
      <c r="L55" s="26">
        <f t="shared" si="18"/>
        <v>688477.60000000009</v>
      </c>
      <c r="M55" s="26">
        <f t="shared" si="18"/>
        <v>4</v>
      </c>
      <c r="N55" s="26">
        <f t="shared" si="18"/>
        <v>11234.6</v>
      </c>
      <c r="O55" s="26">
        <f t="shared" si="18"/>
        <v>29</v>
      </c>
      <c r="P55" s="26">
        <f t="shared" si="18"/>
        <v>663305.30000000005</v>
      </c>
      <c r="Q55" s="26">
        <f t="shared" si="18"/>
        <v>50</v>
      </c>
      <c r="R55" s="26">
        <f t="shared" si="18"/>
        <v>1585903.1</v>
      </c>
      <c r="S55" s="58"/>
    </row>
  </sheetData>
  <mergeCells count="14">
    <mergeCell ref="A2:S2"/>
    <mergeCell ref="S4:S5"/>
    <mergeCell ref="A55:B55"/>
    <mergeCell ref="K4:L4"/>
    <mergeCell ref="O4:P4"/>
    <mergeCell ref="A4:A5"/>
    <mergeCell ref="M4:N4"/>
    <mergeCell ref="Q4:R4"/>
    <mergeCell ref="C4:D4"/>
    <mergeCell ref="E4:F4"/>
    <mergeCell ref="G4:H4"/>
    <mergeCell ref="I4:J4"/>
    <mergeCell ref="B4:B5"/>
    <mergeCell ref="S15:S16"/>
  </mergeCells>
  <printOptions horizontalCentered="1" verticalCentered="1"/>
  <pageMargins left="0.31" right="0.2" top="0.52" bottom="0.2" header="0.43" footer="0.2"/>
  <pageSetup paperSize="9"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94F49-E6C2-4989-B681-4ACE9D7A5E65}">
  <dimension ref="A2:E19"/>
  <sheetViews>
    <sheetView workbookViewId="0">
      <selection activeCell="B38" sqref="B38"/>
    </sheetView>
  </sheetViews>
  <sheetFormatPr defaultColWidth="9" defaultRowHeight="13.5" x14ac:dyDescent="0.45"/>
  <cols>
    <col min="1" max="1" width="6.86328125" style="8" customWidth="1"/>
    <col min="2" max="2" width="45.265625" style="6" customWidth="1"/>
    <col min="3" max="3" width="19.3984375" style="6" customWidth="1"/>
    <col min="4" max="4" width="38.73046875" style="6" customWidth="1"/>
    <col min="5" max="5" width="28.86328125" style="6" customWidth="1"/>
    <col min="6" max="16384" width="9" style="6"/>
  </cols>
  <sheetData>
    <row r="2" spans="1:5" ht="30" customHeight="1" x14ac:dyDescent="0.45">
      <c r="A2" s="80" t="s">
        <v>116</v>
      </c>
      <c r="B2" s="80"/>
      <c r="C2" s="80"/>
      <c r="D2" s="80"/>
      <c r="E2" s="80"/>
    </row>
    <row r="3" spans="1:5" ht="10.9" customHeight="1" x14ac:dyDescent="0.45">
      <c r="A3" s="10"/>
      <c r="B3" s="10"/>
      <c r="C3" s="10"/>
      <c r="D3" s="10"/>
      <c r="E3" s="10"/>
    </row>
    <row r="4" spans="1:5" x14ac:dyDescent="0.45">
      <c r="E4" s="12" t="s">
        <v>34</v>
      </c>
    </row>
    <row r="5" spans="1:5" ht="35.25" customHeight="1" x14ac:dyDescent="0.45">
      <c r="A5" s="9" t="s">
        <v>35</v>
      </c>
      <c r="B5" s="9" t="s">
        <v>36</v>
      </c>
      <c r="C5" s="9" t="s">
        <v>117</v>
      </c>
      <c r="D5" s="9" t="s">
        <v>118</v>
      </c>
      <c r="E5" s="7" t="s">
        <v>45</v>
      </c>
    </row>
    <row r="6" spans="1:5" ht="140.25" x14ac:dyDescent="0.45">
      <c r="A6" s="7">
        <f>'Асуудлын нэгтгэл'!A6</f>
        <v>1</v>
      </c>
      <c r="B6" s="16" t="s">
        <v>50</v>
      </c>
      <c r="C6" s="5"/>
      <c r="D6" s="15" t="s">
        <v>119</v>
      </c>
      <c r="E6" s="5"/>
    </row>
    <row r="7" spans="1:5" x14ac:dyDescent="0.45">
      <c r="A7" s="7">
        <v>2</v>
      </c>
      <c r="B7" s="5"/>
      <c r="C7" s="5"/>
      <c r="D7" s="5"/>
      <c r="E7" s="5"/>
    </row>
    <row r="8" spans="1:5" x14ac:dyDescent="0.45">
      <c r="A8" s="7"/>
      <c r="B8" s="5"/>
      <c r="C8" s="5"/>
      <c r="D8" s="5"/>
      <c r="E8" s="5"/>
    </row>
    <row r="9" spans="1:5" x14ac:dyDescent="0.45">
      <c r="A9" s="7">
        <f>'Асуудлын нэгтгэл'!A17</f>
        <v>4</v>
      </c>
      <c r="B9" s="5" t="str">
        <f>'Асуудлын нэгтгэл'!B17</f>
        <v>Эрдэнэс критикал менералс ТӨҮГ</v>
      </c>
      <c r="C9" s="5"/>
      <c r="D9" s="5"/>
      <c r="E9" s="5"/>
    </row>
    <row r="10" spans="1:5" ht="162" x14ac:dyDescent="0.45">
      <c r="A10" s="7">
        <f>'Асуудлын нэгтгэл'!A18</f>
        <v>4.0999999999999996</v>
      </c>
      <c r="B10" s="15" t="str">
        <f>'Асуудлын нэгтгэл'!B18</f>
        <v>Шилэн дансны цахим хуудсанд эхний хагас жилийн хугацаанд 91 мэдээллээс 82 мэдээллийг хугацаанд нь, 3 мэдээллийг хугацаа хоцроон байршуулж, 6 мэдээллийг мэдээлэл байхгүйгээр тайлагнасан байна. Эхний хагас жилийн байдлаар санхүүгийн тайлангаас Шилэн дансны мэдээлэлд нийт орлого 4,611.4 сая төгрөг, өр төлбөр 47,616.1 сая төгрөг, авлага 19,294.4 сая төгрөг, хөрөнгө оруулалт 6,575.2 сая төгрөгөөр дутуу, үйл ажиллагааны зардал 16,626.4 сая төгрөгөөр илүү тайлагнасан байна.</v>
      </c>
      <c r="C10" s="5"/>
      <c r="D10" s="5"/>
      <c r="E10" s="11"/>
    </row>
    <row r="11" spans="1:5" x14ac:dyDescent="0.45">
      <c r="A11" s="7"/>
      <c r="B11" s="5"/>
      <c r="C11" s="5"/>
      <c r="D11" s="5"/>
      <c r="E11" s="5"/>
    </row>
    <row r="12" spans="1:5" x14ac:dyDescent="0.45">
      <c r="A12" s="7"/>
      <c r="B12" s="5"/>
      <c r="C12" s="5"/>
      <c r="D12" s="5"/>
      <c r="E12" s="5"/>
    </row>
    <row r="13" spans="1:5" x14ac:dyDescent="0.45">
      <c r="A13" s="7"/>
      <c r="B13" s="5"/>
      <c r="C13" s="5"/>
      <c r="D13" s="5"/>
      <c r="E13" s="5"/>
    </row>
    <row r="14" spans="1:5" x14ac:dyDescent="0.45">
      <c r="A14" s="7"/>
      <c r="B14" s="5"/>
      <c r="C14" s="5"/>
      <c r="D14" s="5"/>
      <c r="E14" s="5"/>
    </row>
    <row r="15" spans="1:5" x14ac:dyDescent="0.45">
      <c r="A15" s="7"/>
      <c r="B15" s="5"/>
      <c r="C15" s="5"/>
      <c r="D15" s="5"/>
      <c r="E15" s="5"/>
    </row>
    <row r="16" spans="1:5" ht="15.4" customHeight="1" x14ac:dyDescent="0.45">
      <c r="A16" s="81" t="s">
        <v>120</v>
      </c>
      <c r="B16" s="82"/>
      <c r="C16" s="13"/>
      <c r="D16" s="5"/>
      <c r="E16" s="5"/>
    </row>
    <row r="19" spans="2:2" x14ac:dyDescent="0.45">
      <c r="B19" s="6" t="s">
        <v>121</v>
      </c>
    </row>
  </sheetData>
  <mergeCells count="2">
    <mergeCell ref="A2:E2"/>
    <mergeCell ref="A16:B16"/>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687fb0d-0401-45f7-aa4b-f751b03ca1fa" xsi:nil="true"/>
    <lcf76f155ced4ddcb4097134ff3c332f xmlns="5e6b5a78-9619-472b-b594-ce750b71b22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636F84767E13E4AB9F3D30893B2BB94" ma:contentTypeVersion="12" ma:contentTypeDescription="Create a new document." ma:contentTypeScope="" ma:versionID="5f78f48be9f96d6a0c993401fc9e4838">
  <xsd:schema xmlns:xsd="http://www.w3.org/2001/XMLSchema" xmlns:xs="http://www.w3.org/2001/XMLSchema" xmlns:p="http://schemas.microsoft.com/office/2006/metadata/properties" xmlns:ns2="5e6b5a78-9619-472b-b594-ce750b71b22e" xmlns:ns3="2687fb0d-0401-45f7-aa4b-f751b03ca1fa" targetNamespace="http://schemas.microsoft.com/office/2006/metadata/properties" ma:root="true" ma:fieldsID="78b88f98cd2228b215d32203b8c6df04" ns2:_="" ns3:_="">
    <xsd:import namespace="5e6b5a78-9619-472b-b594-ce750b71b22e"/>
    <xsd:import namespace="2687fb0d-0401-45f7-aa4b-f751b03ca1f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6b5a78-9619-472b-b594-ce750b71b22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15ee7d2-4b69-4963-8757-65afa6e3a0a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87fb0d-0401-45f7-aa4b-f751b03ca1f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f6ed047-9218-410e-afca-d8bb1babffd5}" ma:internalName="TaxCatchAll" ma:showField="CatchAllData" ma:web="2687fb0d-0401-45f7-aa4b-f751b03ca1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C210822-0FA9-4BB1-AC6A-C0F88E02C40E}">
  <ds:schemaRefs>
    <ds:schemaRef ds:uri="http://schemas.microsoft.com/sharepoint/v3/contenttype/forms"/>
  </ds:schemaRefs>
</ds:datastoreItem>
</file>

<file path=customXml/itemProps2.xml><?xml version="1.0" encoding="utf-8"?>
<ds:datastoreItem xmlns:ds="http://schemas.openxmlformats.org/officeDocument/2006/customXml" ds:itemID="{A63A092D-A633-4112-BB22-FE114026BC22}">
  <ds:schemaRefs>
    <ds:schemaRef ds:uri="http://schemas.microsoft.com/office/2006/metadata/properties"/>
    <ds:schemaRef ds:uri="http://schemas.microsoft.com/office/infopath/2007/PartnerControls"/>
    <ds:schemaRef ds:uri="2687fb0d-0401-45f7-aa4b-f751b03ca1fa"/>
    <ds:schemaRef ds:uri="5e6b5a78-9619-472b-b594-ce750b71b22e"/>
  </ds:schemaRefs>
</ds:datastoreItem>
</file>

<file path=customXml/itemProps3.xml><?xml version="1.0" encoding="utf-8"?>
<ds:datastoreItem xmlns:ds="http://schemas.openxmlformats.org/officeDocument/2006/customXml" ds:itemID="{F7F20486-2E4F-4EBF-9AB9-AA14A23B91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e6b5a78-9619-472b-b594-ce750b71b22e"/>
    <ds:schemaRef ds:uri="2687fb0d-0401-45f7-aa4b-f751b03ca1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ҮЙЛДВЭР ЯВУУЛДАГ</vt:lpstr>
      <vt:lpstr>ЗЭЭЛЭЭР САНХҮҮЖДЭГ</vt:lpstr>
      <vt:lpstr>тайланд тусгах АС нэгтгэл-3.01</vt:lpstr>
      <vt:lpstr>Асуудлын нэгтгэл</vt:lpstr>
      <vt:lpstr>Асуудлын бүртгэл</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Б.Энхцэцэг</dc:creator>
  <cp:keywords/>
  <dc:description/>
  <cp:lastModifiedBy>Byambadorj Altansukh</cp:lastModifiedBy>
  <cp:revision/>
  <cp:lastPrinted>2026-03-04T06:49:18Z</cp:lastPrinted>
  <dcterms:created xsi:type="dcterms:W3CDTF">2025-08-12T00:22:13Z</dcterms:created>
  <dcterms:modified xsi:type="dcterms:W3CDTF">2026-03-11T04:10:57Z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0x0101000636F84767E13E4AB9F3D30893B2BB94</vt:lpwstr>
  </property>
  <property fmtid="{D5CDD505-2E9C-101B-9397-08002B2CF9AE}" pid="3" name="MediaServiceImageTags">
    <vt:lpwstr/>
  </property>
  <property fmtid="{D5CDD505-2E9C-101B-9397-08002B2CF9AE}" pid="4" name="Order">
    <vt:r8>3506500</vt:r8>
  </property>
  <property fmtid="{D5CDD505-2E9C-101B-9397-08002B2CF9AE}" pid="5" name="xd_Signature">
    <vt:bool>false</vt:bool>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ies>
</file>